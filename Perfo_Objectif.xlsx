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s" sheetId="1" r:id="rId4"/>
    <sheet state="visible" name="Paramétrage" sheetId="2" r:id="rId5"/>
  </sheets>
  <definedNames/>
  <calcPr/>
  <extLst>
    <ext uri="GoogleSheetsCustomDataVersion2">
      <go:sheetsCustomData xmlns:go="http://customooxmlschemas.google.com/" r:id="rId6" roundtripDataChecksum="SwS89dp8Gr5L4uIxxRGMdg3kFRLyo0AErTGhGuW/mg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ID#AAABeYJi1CA
JEAN BAPTISTE BOURCET - J629096    (2025-02-18 16:33:33)
Je retire 7 jours à cause d'Excel qui ne gère pas la semaine 53 et S1</t>
      </text>
    </comment>
  </commentList>
  <extLst>
    <ext uri="GoogleSheetsCustomDataVersion2">
      <go:sheetsCustomData xmlns:go="http://customooxmlschemas.google.com/" r:id="rId1" roundtripDataSignature="AMtx7mho7xszNVJPAbDPoe6Lz8n8RyiMkQ=="/>
    </ext>
  </extLst>
</comments>
</file>

<file path=xl/sharedStrings.xml><?xml version="1.0" encoding="utf-8"?>
<sst xmlns="http://schemas.openxmlformats.org/spreadsheetml/2006/main" count="112" uniqueCount="88">
  <si>
    <t>R001</t>
  </si>
  <si>
    <t>NON RO GLOBAL</t>
  </si>
  <si>
    <t>RO GLOBAL</t>
  </si>
  <si>
    <t>R803</t>
  </si>
  <si>
    <t>D601</t>
  </si>
  <si>
    <t>Par défaut le fichier prend la date du jour en cours en référence. Si vous souhaitez changer la date, remplir la case jaune :</t>
  </si>
  <si>
    <t>Onglet de paramétrage général</t>
  </si>
  <si>
    <t>Les valeurs en bleu sont à remplir par les usines, le reste est fait en automatique</t>
  </si>
  <si>
    <t>Onglet *</t>
  </si>
  <si>
    <t>Nom usuel</t>
  </si>
  <si>
    <t>Position objectif</t>
  </si>
  <si>
    <t>RO</t>
  </si>
  <si>
    <t>Lieu archivage export SAPIA</t>
  </si>
  <si>
    <t>http://docinfogroupe.inetpsa.com/ead/doc/ref._PSA13_5154/v.vc/[pj]</t>
  </si>
  <si>
    <t>Ligne 1</t>
  </si>
  <si>
    <t>LIGNE 1</t>
  </si>
  <si>
    <t>FAMILLES DE PERTES</t>
  </si>
  <si>
    <t>PRESSES</t>
  </si>
  <si>
    <t>x</t>
  </si>
  <si>
    <t>Nom du document</t>
  </si>
  <si>
    <t>Ligne 2</t>
  </si>
  <si>
    <t>R825</t>
  </si>
  <si>
    <t>TDM 825</t>
  </si>
  <si>
    <t>EQUIPEMENTS</t>
  </si>
  <si>
    <t xml:space="preserve">Date virtuelle pour Excel : </t>
  </si>
  <si>
    <t>Ligne 3</t>
  </si>
  <si>
    <t>R801</t>
  </si>
  <si>
    <t xml:space="preserve">PTD </t>
  </si>
  <si>
    <t>CONVOYEURS</t>
  </si>
  <si>
    <t>Centre</t>
  </si>
  <si>
    <t>DI/DCPS</t>
  </si>
  <si>
    <t>Ligne 4</t>
  </si>
  <si>
    <t>R802</t>
  </si>
  <si>
    <t>L802</t>
  </si>
  <si>
    <t>OUTILS</t>
  </si>
  <si>
    <t>Reponsable des documents</t>
  </si>
  <si>
    <t>T. RANCON</t>
  </si>
  <si>
    <t>Ligne 5</t>
  </si>
  <si>
    <t>T601</t>
  </si>
  <si>
    <t>ESSUYAGE OUTIL</t>
  </si>
  <si>
    <t>Responsable Mise à jour</t>
  </si>
  <si>
    <t>F. PETREQUIN</t>
  </si>
  <si>
    <t>Ligne 6</t>
  </si>
  <si>
    <t>L803</t>
  </si>
  <si>
    <t>MECANISATIONS</t>
  </si>
  <si>
    <t>Concaténation</t>
  </si>
  <si>
    <t>Ligne 7</t>
  </si>
  <si>
    <t>MATIERE</t>
  </si>
  <si>
    <t>Bilan réalisé avec</t>
  </si>
  <si>
    <t>Vision gammes série uniquement</t>
  </si>
  <si>
    <t>Ligne 8</t>
  </si>
  <si>
    <t>ATTENTE AMONT</t>
  </si>
  <si>
    <t>Ligne 9</t>
  </si>
  <si>
    <t>SATURATION</t>
  </si>
  <si>
    <t>Ligne 10</t>
  </si>
  <si>
    <t>PREPARATION CONVOI</t>
  </si>
  <si>
    <t>R806</t>
  </si>
  <si>
    <t>Ligne 11</t>
  </si>
  <si>
    <t>OPERATEURS</t>
  </si>
  <si>
    <t>Ligne 12</t>
  </si>
  <si>
    <t>NON RENSEIGNEE</t>
  </si>
  <si>
    <t>Ligne 13</t>
  </si>
  <si>
    <t>MONTAGE CONVOI</t>
  </si>
  <si>
    <t>Ligne 14</t>
  </si>
  <si>
    <t>REMPLISSAGE</t>
  </si>
  <si>
    <t>Ligne 15</t>
  </si>
  <si>
    <t>PRE-ACCEPTATION</t>
  </si>
  <si>
    <t>* ce nom doit être celui de l'onglet de l'export excel SAPIA</t>
  </si>
  <si>
    <t>CHANGEMENT D'INDEX</t>
  </si>
  <si>
    <t>MISE EN OPERATION</t>
  </si>
  <si>
    <t>Correspondance Maturité Gamme</t>
  </si>
  <si>
    <t>CHANGEMENT DE BOBINE</t>
  </si>
  <si>
    <t>*</t>
  </si>
  <si>
    <t>Vision toutes gammes</t>
  </si>
  <si>
    <t>CHANGEMENT DE BAC</t>
  </si>
  <si>
    <t>Vision gammes en lancement uniquement</t>
  </si>
  <si>
    <t>CHANGEMENT DE PALETTE</t>
  </si>
  <si>
    <t>Vision gammes nouvelles sur site</t>
  </si>
  <si>
    <t>REBUTS</t>
  </si>
  <si>
    <t>RETOUCHES</t>
  </si>
  <si>
    <t>PERTES CYCLE</t>
  </si>
  <si>
    <t>Nb lignes d'écart entre 2 tableaux d'obj.</t>
  </si>
  <si>
    <t>TYPE DE PERTES</t>
  </si>
  <si>
    <t>ARRETS MACHINES</t>
  </si>
  <si>
    <t>ARRETS OUTILS</t>
  </si>
  <si>
    <t>ARRETS INDUITS</t>
  </si>
  <si>
    <t>ARRETS FONCTIONNELS</t>
  </si>
  <si>
    <t>PERTES QUALITE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</si>
</sst>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-yyyy"/>
    <numFmt numFmtId="165" formatCode="m-yyyy"/>
    <numFmt numFmtId="166" formatCode="0.0%"/>
    <numFmt numFmtId="167" formatCode="mm\-yyyy"/>
    <numFmt numFmtId="168" formatCode="D/M/YYYY"/>
  </numFmts>
  <fonts count="15">
    <font>
      <sz val="11.0"/>
      <color theme="1"/>
      <name val="Calibri"/>
      <scheme val="minor"/>
    </font>
    <font>
      <b/>
      <sz val="18.0"/>
      <color rgb="FF0070C0"/>
      <name val="Calibri"/>
    </font>
    <font>
      <b/>
      <sz val="10.0"/>
      <color theme="1"/>
      <name val="Calibri"/>
    </font>
    <font>
      <sz val="6.0"/>
      <color rgb="FF0070C0"/>
      <name val="Calibri"/>
    </font>
    <font/>
    <font>
      <sz val="6.0"/>
      <color theme="1"/>
      <name val="Calibri"/>
    </font>
    <font>
      <sz val="8.0"/>
      <color rgb="FF1F497D"/>
      <name val="Calibri"/>
    </font>
    <font>
      <sz val="8.0"/>
      <color rgb="FF0070C0"/>
      <name val="Calibri"/>
    </font>
    <font>
      <sz val="11.0"/>
      <color theme="1"/>
      <name val="Calibri"/>
    </font>
    <font>
      <sz val="10.0"/>
      <color theme="1"/>
      <name val="Calibri"/>
    </font>
    <font>
      <b/>
      <sz val="14.0"/>
      <color theme="1"/>
      <name val="Calibri"/>
    </font>
    <font>
      <b/>
      <u/>
      <sz val="10.0"/>
      <color theme="1"/>
      <name val="Calibri"/>
    </font>
    <font>
      <u/>
      <sz val="11.0"/>
      <color theme="10"/>
      <name val="Calibri"/>
    </font>
    <font>
      <b/>
      <sz val="10.0"/>
      <color rgb="FF0070C0"/>
      <name val="Calibri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99594"/>
        <bgColor rgb="FFD99594"/>
      </patternFill>
    </fill>
    <fill>
      <patternFill patternType="solid">
        <fgColor rgb="FFD99693"/>
        <bgColor rgb="FFD99693"/>
      </patternFill>
    </fill>
    <fill>
      <patternFill patternType="solid">
        <fgColor rgb="FFFFFF00"/>
        <bgColor rgb="FFFFFF00"/>
      </patternFill>
    </fill>
  </fills>
  <borders count="3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2" fontId="3" numFmtId="164" xfId="0" applyAlignment="1" applyBorder="1" applyFont="1" applyNumberFormat="1">
      <alignment horizontal="center" readingOrder="0" textRotation="90" vertical="center"/>
    </xf>
    <xf borderId="3" fillId="2" fontId="3" numFmtId="165" xfId="0" applyAlignment="1" applyBorder="1" applyFont="1" applyNumberFormat="1">
      <alignment horizontal="center" readingOrder="0" textRotation="90" vertical="center"/>
    </xf>
    <xf borderId="4" fillId="0" fontId="4" numFmtId="0" xfId="0" applyBorder="1" applyFont="1"/>
    <xf borderId="5" fillId="0" fontId="5" numFmtId="0" xfId="0" applyBorder="1" applyFont="1"/>
    <xf borderId="6" fillId="2" fontId="6" numFmtId="166" xfId="0" applyAlignment="1" applyBorder="1" applyFont="1" applyNumberFormat="1">
      <alignment horizontal="center"/>
    </xf>
    <xf borderId="7" fillId="2" fontId="6" numFmtId="166" xfId="0" applyAlignment="1" applyBorder="1" applyFont="1" applyNumberFormat="1">
      <alignment horizontal="center"/>
    </xf>
    <xf borderId="7" fillId="2" fontId="6" numFmtId="10" xfId="0" applyAlignment="1" applyBorder="1" applyFont="1" applyNumberFormat="1">
      <alignment horizontal="center"/>
    </xf>
    <xf borderId="8" fillId="2" fontId="6" numFmtId="166" xfId="0" applyAlignment="1" applyBorder="1" applyFont="1" applyNumberFormat="1">
      <alignment horizontal="center"/>
    </xf>
    <xf borderId="9" fillId="4" fontId="5" numFmtId="166" xfId="0" applyAlignment="1" applyBorder="1" applyFill="1" applyFont="1" applyNumberFormat="1">
      <alignment horizontal="center"/>
    </xf>
    <xf borderId="10" fillId="4" fontId="5" numFmtId="166" xfId="0" applyAlignment="1" applyBorder="1" applyFont="1" applyNumberFormat="1">
      <alignment horizontal="center"/>
    </xf>
    <xf borderId="11" fillId="0" fontId="5" numFmtId="0" xfId="0" applyBorder="1" applyFont="1"/>
    <xf borderId="6" fillId="0" fontId="5" numFmtId="166" xfId="0" applyAlignment="1" applyBorder="1" applyFont="1" applyNumberFormat="1">
      <alignment horizontal="center"/>
    </xf>
    <xf borderId="12" fillId="0" fontId="5" numFmtId="166" xfId="0" applyAlignment="1" applyBorder="1" applyFont="1" applyNumberFormat="1">
      <alignment horizontal="center"/>
    </xf>
    <xf borderId="7" fillId="0" fontId="5" numFmtId="166" xfId="0" applyAlignment="1" applyBorder="1" applyFont="1" applyNumberFormat="1">
      <alignment horizontal="center"/>
    </xf>
    <xf borderId="13" fillId="0" fontId="5" numFmtId="166" xfId="0" applyAlignment="1" applyBorder="1" applyFont="1" applyNumberFormat="1">
      <alignment horizontal="center"/>
    </xf>
    <xf borderId="8" fillId="0" fontId="5" numFmtId="166" xfId="0" applyAlignment="1" applyBorder="1" applyFont="1" applyNumberFormat="1">
      <alignment horizontal="center"/>
    </xf>
    <xf borderId="14" fillId="0" fontId="5" numFmtId="166" xfId="0" applyAlignment="1" applyBorder="1" applyFont="1" applyNumberFormat="1">
      <alignment horizontal="center"/>
    </xf>
    <xf borderId="15" fillId="0" fontId="4" numFmtId="0" xfId="0" applyBorder="1" applyFont="1"/>
    <xf borderId="9" fillId="4" fontId="5" numFmtId="166" xfId="0" applyAlignment="1" applyBorder="1" applyFont="1" applyNumberFormat="1">
      <alignment horizontal="center" vertical="center"/>
    </xf>
    <xf borderId="10" fillId="4" fontId="5" numFmtId="166" xfId="0" applyAlignment="1" applyBorder="1" applyFont="1" applyNumberFormat="1">
      <alignment horizontal="center" vertical="center"/>
    </xf>
    <xf borderId="0" fillId="0" fontId="5" numFmtId="0" xfId="0" applyFont="1"/>
    <xf borderId="3" fillId="2" fontId="3" numFmtId="167" xfId="0" applyAlignment="1" applyBorder="1" applyFont="1" applyNumberFormat="1">
      <alignment horizontal="center" textRotation="90" vertical="center"/>
    </xf>
    <xf borderId="6" fillId="2" fontId="3" numFmtId="166" xfId="0" applyAlignment="1" applyBorder="1" applyFont="1" applyNumberFormat="1">
      <alignment horizontal="center"/>
    </xf>
    <xf borderId="16" fillId="2" fontId="3" numFmtId="166" xfId="0" applyAlignment="1" applyBorder="1" applyFont="1" applyNumberFormat="1">
      <alignment horizontal="center"/>
    </xf>
    <xf borderId="7" fillId="2" fontId="3" numFmtId="166" xfId="0" applyAlignment="1" applyBorder="1" applyFont="1" applyNumberFormat="1">
      <alignment horizontal="center"/>
    </xf>
    <xf borderId="17" fillId="2" fontId="3" numFmtId="166" xfId="0" applyAlignment="1" applyBorder="1" applyFont="1" applyNumberFormat="1">
      <alignment horizontal="center"/>
    </xf>
    <xf borderId="8" fillId="2" fontId="3" numFmtId="166" xfId="0" applyAlignment="1" applyBorder="1" applyFont="1" applyNumberFormat="1">
      <alignment horizontal="center"/>
    </xf>
    <xf borderId="18" fillId="2" fontId="3" numFmtId="166" xfId="0" applyAlignment="1" applyBorder="1" applyFont="1" applyNumberFormat="1">
      <alignment horizontal="center"/>
    </xf>
    <xf borderId="19" fillId="4" fontId="5" numFmtId="166" xfId="0" applyAlignment="1" applyBorder="1" applyFont="1" applyNumberFormat="1">
      <alignment horizontal="center"/>
    </xf>
    <xf borderId="20" fillId="4" fontId="5" numFmtId="166" xfId="0" applyAlignment="1" applyBorder="1" applyFont="1" applyNumberFormat="1">
      <alignment horizontal="center"/>
    </xf>
    <xf borderId="21" fillId="4" fontId="5" numFmtId="166" xfId="0" applyAlignment="1" applyBorder="1" applyFont="1" applyNumberFormat="1">
      <alignment horizontal="center"/>
    </xf>
    <xf borderId="22" fillId="0" fontId="5" numFmtId="166" xfId="0" applyAlignment="1" applyBorder="1" applyFont="1" applyNumberFormat="1">
      <alignment horizontal="center"/>
    </xf>
    <xf borderId="23" fillId="0" fontId="5" numFmtId="166" xfId="0" applyAlignment="1" applyBorder="1" applyFont="1" applyNumberFormat="1">
      <alignment horizontal="center"/>
    </xf>
    <xf borderId="24" fillId="0" fontId="5" numFmtId="166" xfId="0" applyAlignment="1" applyBorder="1" applyFont="1" applyNumberFormat="1">
      <alignment horizontal="center"/>
    </xf>
    <xf borderId="17" fillId="0" fontId="5" numFmtId="166" xfId="0" applyAlignment="1" applyBorder="1" applyFont="1" applyNumberFormat="1">
      <alignment horizontal="center"/>
    </xf>
    <xf borderId="25" fillId="0" fontId="5" numFmtId="166" xfId="0" applyAlignment="1" applyBorder="1" applyFont="1" applyNumberFormat="1">
      <alignment horizontal="center"/>
    </xf>
    <xf borderId="26" fillId="0" fontId="5" numFmtId="166" xfId="0" applyAlignment="1" applyBorder="1" applyFont="1" applyNumberFormat="1">
      <alignment horizontal="center"/>
    </xf>
    <xf borderId="27" fillId="0" fontId="5" numFmtId="166" xfId="0" applyAlignment="1" applyBorder="1" applyFont="1" applyNumberFormat="1">
      <alignment horizontal="center"/>
    </xf>
    <xf borderId="28" fillId="4" fontId="5" numFmtId="166" xfId="0" applyAlignment="1" applyBorder="1" applyFont="1" applyNumberFormat="1">
      <alignment horizontal="center" vertical="center"/>
    </xf>
    <xf borderId="6" fillId="2" fontId="7" numFmtId="166" xfId="0" applyAlignment="1" applyBorder="1" applyFont="1" applyNumberFormat="1">
      <alignment horizontal="center"/>
    </xf>
    <xf borderId="7" fillId="2" fontId="7" numFmtId="166" xfId="0" applyAlignment="1" applyBorder="1" applyFont="1" applyNumberFormat="1">
      <alignment horizontal="center"/>
    </xf>
    <xf borderId="17" fillId="2" fontId="7" numFmtId="166" xfId="0" applyAlignment="1" applyBorder="1" applyFont="1" applyNumberFormat="1">
      <alignment horizontal="center"/>
    </xf>
    <xf borderId="13" fillId="2" fontId="7" numFmtId="166" xfId="0" applyAlignment="1" applyBorder="1" applyFont="1" applyNumberFormat="1">
      <alignment horizontal="center"/>
    </xf>
    <xf borderId="8" fillId="2" fontId="7" numFmtId="166" xfId="0" applyAlignment="1" applyBorder="1" applyFont="1" applyNumberFormat="1">
      <alignment horizontal="center"/>
    </xf>
    <xf borderId="28" fillId="4" fontId="5" numFmtId="166" xfId="0" applyAlignment="1" applyBorder="1" applyFont="1" applyNumberFormat="1">
      <alignment horizontal="center"/>
    </xf>
    <xf borderId="16" fillId="0" fontId="5" numFmtId="166" xfId="0" applyAlignment="1" applyBorder="1" applyFont="1" applyNumberFormat="1">
      <alignment horizontal="center"/>
    </xf>
    <xf borderId="18" fillId="0" fontId="5" numFmtId="166" xfId="0" applyAlignment="1" applyBorder="1" applyFont="1" applyNumberFormat="1">
      <alignment horizontal="center"/>
    </xf>
    <xf borderId="0" fillId="0" fontId="5" numFmtId="46" xfId="0" applyFont="1" applyNumberFormat="1"/>
    <xf borderId="0" fillId="0" fontId="8" numFmtId="0" xfId="0" applyAlignment="1" applyFont="1">
      <alignment vertical="center"/>
    </xf>
    <xf borderId="0" fillId="0" fontId="9" numFmtId="0" xfId="0" applyFont="1"/>
    <xf borderId="29" fillId="5" fontId="10" numFmtId="168" xfId="0" applyAlignment="1" applyBorder="1" applyFill="1" applyFont="1" applyNumberFormat="1">
      <alignment horizontal="center" vertical="center"/>
    </xf>
    <xf borderId="0" fillId="0" fontId="11" numFmtId="0" xfId="0" applyFont="1"/>
    <xf borderId="13" fillId="0" fontId="9" numFmtId="0" xfId="0" applyAlignment="1" applyBorder="1" applyFont="1">
      <alignment horizontal="center" vertical="center"/>
    </xf>
    <xf borderId="13" fillId="0" fontId="9" numFmtId="0" xfId="0" applyBorder="1" applyFont="1"/>
    <xf borderId="0" fillId="0" fontId="12" numFmtId="2" xfId="0" applyAlignment="1" applyFont="1" applyNumberFormat="1">
      <alignment horizontal="center"/>
    </xf>
    <xf borderId="13" fillId="2" fontId="13" numFmtId="0" xfId="0" applyAlignment="1" applyBorder="1" applyFont="1">
      <alignment horizontal="center" vertical="center"/>
    </xf>
    <xf borderId="26" fillId="0" fontId="14" numFmtId="0" xfId="0" applyAlignment="1" applyBorder="1" applyFont="1">
      <alignment horizontal="center" textRotation="90" vertical="center"/>
    </xf>
    <xf borderId="13" fillId="2" fontId="13" numFmtId="0" xfId="0" applyAlignment="1" applyBorder="1" applyFont="1">
      <alignment horizontal="left" vertical="center"/>
    </xf>
    <xf borderId="30" fillId="0" fontId="4" numFmtId="0" xfId="0" applyBorder="1" applyFont="1"/>
    <xf borderId="13" fillId="2" fontId="13" numFmtId="168" xfId="0" applyAlignment="1" applyBorder="1" applyFont="1" applyNumberFormat="1">
      <alignment horizontal="left" vertical="center"/>
    </xf>
    <xf borderId="0" fillId="0" fontId="9" numFmtId="0" xfId="0" applyAlignment="1" applyFont="1">
      <alignment horizontal="right"/>
    </xf>
    <xf borderId="0" fillId="0" fontId="9" numFmtId="166" xfId="0" applyFont="1" applyNumberFormat="1"/>
    <xf borderId="0" fillId="0" fontId="9" numFmtId="2" xfId="0" applyAlignment="1" applyFont="1" applyNumberFormat="1">
      <alignment horizontal="center"/>
    </xf>
    <xf borderId="0" fillId="0" fontId="9" numFmtId="17" xfId="0" applyFont="1" applyNumberFormat="1"/>
    <xf borderId="0" fillId="0" fontId="9" numFmtId="0" xfId="0" applyAlignment="1" applyFont="1">
      <alignment horizontal="center" vertical="center"/>
    </xf>
    <xf borderId="23" fillId="0" fontId="4" numFmtId="0" xfId="0" applyBorder="1" applyFont="1"/>
    <xf borderId="31" fillId="0" fontId="9" numFmtId="0" xfId="0" applyBorder="1" applyFont="1"/>
    <xf borderId="0" fillId="0" fontId="9" numFmtId="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ocinfogroupe.inetpsa.com/ead/doc/ref._PSA13_5154/v.vc/%5bpj%5d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6.57"/>
    <col customWidth="1" min="3" max="3" width="6.0"/>
    <col customWidth="1" min="4" max="4" width="7.29"/>
    <col customWidth="1" min="5" max="9" width="5.14"/>
    <col customWidth="1" min="10" max="10" width="6.0"/>
    <col customWidth="1" min="11" max="14" width="5.14"/>
    <col customWidth="1" min="15" max="15" width="6.0"/>
    <col customWidth="1" min="16" max="16" width="5.57"/>
    <col customWidth="1" min="17" max="21" width="5.14"/>
    <col customWidth="1" min="22" max="22" width="7.29"/>
    <col customWidth="1" min="23" max="26" width="5.14"/>
  </cols>
  <sheetData>
    <row r="1" ht="8.25" customHeight="1">
      <c r="A1" s="1" t="s">
        <v>0</v>
      </c>
      <c r="B1" s="2" t="str">
        <f>"Non RO - "&amp;VLOOKUP(A1,'Paramétrage'!$E$6:$F$16,2,FALSE)</f>
        <v>Non RO - LIGNE 1</v>
      </c>
      <c r="C1" s="3">
        <v>45292.0</v>
      </c>
      <c r="D1" s="3">
        <v>45323.0</v>
      </c>
      <c r="E1" s="3">
        <v>45352.0</v>
      </c>
      <c r="F1" s="3">
        <v>45383.0</v>
      </c>
      <c r="G1" s="3">
        <v>45413.0</v>
      </c>
      <c r="H1" s="3">
        <v>45444.0</v>
      </c>
      <c r="I1" s="3">
        <v>45474.0</v>
      </c>
      <c r="J1" s="3">
        <v>45505.0</v>
      </c>
      <c r="K1" s="3">
        <v>45536.0</v>
      </c>
      <c r="L1" s="3">
        <v>45566.0</v>
      </c>
      <c r="M1" s="4">
        <v>45597.0</v>
      </c>
      <c r="N1" s="3">
        <v>45627.0</v>
      </c>
      <c r="O1" s="3">
        <v>45658.0</v>
      </c>
      <c r="P1" s="3">
        <v>45689.0</v>
      </c>
      <c r="Q1" s="3">
        <v>45717.0</v>
      </c>
      <c r="R1" s="3">
        <v>45748.0</v>
      </c>
      <c r="S1" s="3">
        <v>45778.0</v>
      </c>
      <c r="T1" s="3">
        <v>45809.0</v>
      </c>
      <c r="U1" s="3">
        <v>45839.0</v>
      </c>
      <c r="V1" s="3">
        <v>45870.0</v>
      </c>
      <c r="W1" s="3">
        <v>45901.0</v>
      </c>
      <c r="X1" s="3">
        <v>45931.0</v>
      </c>
      <c r="Y1" s="4">
        <v>45962.0</v>
      </c>
      <c r="Z1" s="3">
        <v>45992.0</v>
      </c>
    </row>
    <row r="2" ht="11.25" customHeight="1">
      <c r="A2" s="5"/>
      <c r="B2" s="6" t="str">
        <f>'Paramétrage'!J6</f>
        <v>PRESSES</v>
      </c>
      <c r="C2" s="7">
        <v>0.02</v>
      </c>
      <c r="D2" s="7">
        <v>0.02</v>
      </c>
      <c r="E2" s="7">
        <v>0.02</v>
      </c>
      <c r="F2" s="7">
        <v>0.02</v>
      </c>
      <c r="G2" s="7">
        <v>0.02</v>
      </c>
      <c r="H2" s="7">
        <v>0.02</v>
      </c>
      <c r="I2" s="7">
        <v>0.02</v>
      </c>
      <c r="J2" s="7">
        <v>0.02</v>
      </c>
      <c r="K2" s="7">
        <v>0.0175</v>
      </c>
      <c r="L2" s="7">
        <v>0.015000000000000001</v>
      </c>
      <c r="M2" s="7">
        <v>0.0125</v>
      </c>
      <c r="N2" s="7">
        <v>0.01</v>
      </c>
      <c r="O2" s="7">
        <v>0.01</v>
      </c>
      <c r="P2" s="7">
        <v>0.01</v>
      </c>
      <c r="Q2" s="7">
        <v>0.01</v>
      </c>
      <c r="R2" s="7">
        <v>0.01</v>
      </c>
      <c r="S2" s="7">
        <v>0.01</v>
      </c>
      <c r="T2" s="7">
        <v>0.01</v>
      </c>
      <c r="U2" s="7">
        <v>0.01</v>
      </c>
      <c r="V2" s="7">
        <v>0.01</v>
      </c>
      <c r="W2" s="7">
        <v>0.01</v>
      </c>
      <c r="X2" s="7">
        <v>0.01</v>
      </c>
      <c r="Y2" s="7">
        <v>0.01</v>
      </c>
      <c r="Z2" s="7">
        <v>0.01</v>
      </c>
    </row>
    <row r="3" ht="11.25" customHeight="1">
      <c r="A3" s="5"/>
      <c r="B3" s="6" t="str">
        <f>'Paramétrage'!J7</f>
        <v>EQUIPEMENTS</v>
      </c>
      <c r="C3" s="8">
        <v>0.08</v>
      </c>
      <c r="D3" s="8">
        <v>0.08</v>
      </c>
      <c r="E3" s="8">
        <v>0.08</v>
      </c>
      <c r="F3" s="8">
        <v>0.08</v>
      </c>
      <c r="G3" s="8">
        <v>0.08</v>
      </c>
      <c r="H3" s="8">
        <v>0.08</v>
      </c>
      <c r="I3" s="8">
        <v>0.08</v>
      </c>
      <c r="J3" s="8">
        <v>0.08</v>
      </c>
      <c r="K3" s="8">
        <v>0.06975</v>
      </c>
      <c r="L3" s="8">
        <v>0.059500000000000004</v>
      </c>
      <c r="M3" s="8">
        <v>0.04925</v>
      </c>
      <c r="N3" s="8">
        <v>0.039</v>
      </c>
      <c r="O3" s="8">
        <v>0.039</v>
      </c>
      <c r="P3" s="8">
        <v>0.039</v>
      </c>
      <c r="Q3" s="8">
        <v>0.039</v>
      </c>
      <c r="R3" s="8">
        <v>0.039</v>
      </c>
      <c r="S3" s="8">
        <v>0.039</v>
      </c>
      <c r="T3" s="8">
        <v>0.039</v>
      </c>
      <c r="U3" s="8">
        <v>0.039</v>
      </c>
      <c r="V3" s="8">
        <v>0.039</v>
      </c>
      <c r="W3" s="8">
        <v>0.039</v>
      </c>
      <c r="X3" s="8">
        <v>0.039</v>
      </c>
      <c r="Y3" s="8">
        <v>0.039</v>
      </c>
      <c r="Z3" s="8">
        <v>0.039</v>
      </c>
    </row>
    <row r="4" ht="11.25" customHeight="1">
      <c r="A4" s="5"/>
      <c r="B4" s="6" t="str">
        <f>'Paramétrage'!J8</f>
        <v>CONVOYEURS</v>
      </c>
      <c r="C4" s="8">
        <v>0.002</v>
      </c>
      <c r="D4" s="8">
        <v>0.002</v>
      </c>
      <c r="E4" s="8">
        <v>0.002</v>
      </c>
      <c r="F4" s="8">
        <v>0.002</v>
      </c>
      <c r="G4" s="8">
        <v>0.002</v>
      </c>
      <c r="H4" s="8">
        <v>0.002</v>
      </c>
      <c r="I4" s="8">
        <v>0.002</v>
      </c>
      <c r="J4" s="8">
        <v>0.002</v>
      </c>
      <c r="K4" s="8">
        <v>0.00175</v>
      </c>
      <c r="L4" s="8">
        <v>0.0015</v>
      </c>
      <c r="M4" s="8">
        <v>0.00125</v>
      </c>
      <c r="N4" s="8">
        <v>0.001</v>
      </c>
      <c r="O4" s="8">
        <v>0.001</v>
      </c>
      <c r="P4" s="8">
        <v>0.001</v>
      </c>
      <c r="Q4" s="8">
        <v>0.001</v>
      </c>
      <c r="R4" s="8">
        <v>0.001</v>
      </c>
      <c r="S4" s="8">
        <v>0.001</v>
      </c>
      <c r="T4" s="8">
        <v>0.001</v>
      </c>
      <c r="U4" s="8">
        <v>0.001</v>
      </c>
      <c r="V4" s="8">
        <v>0.001</v>
      </c>
      <c r="W4" s="8">
        <v>0.001</v>
      </c>
      <c r="X4" s="8">
        <v>0.001</v>
      </c>
      <c r="Y4" s="8">
        <v>0.001</v>
      </c>
      <c r="Z4" s="8">
        <v>0.001</v>
      </c>
    </row>
    <row r="5" ht="11.25" customHeight="1">
      <c r="A5" s="5"/>
      <c r="B5" s="6" t="str">
        <f>'Paramétrage'!J9</f>
        <v>OUTILS</v>
      </c>
      <c r="C5" s="8">
        <v>0.035</v>
      </c>
      <c r="D5" s="8">
        <v>0.035</v>
      </c>
      <c r="E5" s="8">
        <v>0.035</v>
      </c>
      <c r="F5" s="8">
        <v>0.035</v>
      </c>
      <c r="G5" s="8">
        <v>0.035</v>
      </c>
      <c r="H5" s="8">
        <v>0.035</v>
      </c>
      <c r="I5" s="8">
        <v>0.035</v>
      </c>
      <c r="J5" s="8">
        <v>0.035</v>
      </c>
      <c r="K5" s="8">
        <v>0.03375</v>
      </c>
      <c r="L5" s="8">
        <v>0.0325</v>
      </c>
      <c r="M5" s="8">
        <v>0.03125</v>
      </c>
      <c r="N5" s="8">
        <v>0.03</v>
      </c>
      <c r="O5" s="8">
        <v>0.03</v>
      </c>
      <c r="P5" s="8">
        <v>0.03</v>
      </c>
      <c r="Q5" s="8">
        <v>0.03</v>
      </c>
      <c r="R5" s="8">
        <v>0.03</v>
      </c>
      <c r="S5" s="8">
        <v>0.03</v>
      </c>
      <c r="T5" s="8">
        <v>0.03</v>
      </c>
      <c r="U5" s="8">
        <v>0.03</v>
      </c>
      <c r="V5" s="8">
        <v>0.03</v>
      </c>
      <c r="W5" s="8">
        <v>0.03</v>
      </c>
      <c r="X5" s="8">
        <v>0.03</v>
      </c>
      <c r="Y5" s="8">
        <v>0.03</v>
      </c>
      <c r="Z5" s="8">
        <v>0.03</v>
      </c>
    </row>
    <row r="6" ht="11.25" customHeight="1">
      <c r="A6" s="5"/>
      <c r="B6" s="6" t="str">
        <f>'Paramétrage'!J10</f>
        <v>ESSUYAGE OUTIL</v>
      </c>
      <c r="C6" s="8">
        <v>0.025</v>
      </c>
      <c r="D6" s="8">
        <v>0.025</v>
      </c>
      <c r="E6" s="8">
        <v>0.025</v>
      </c>
      <c r="F6" s="8">
        <v>0.025</v>
      </c>
      <c r="G6" s="8">
        <v>0.025</v>
      </c>
      <c r="H6" s="8">
        <v>0.025</v>
      </c>
      <c r="I6" s="8">
        <v>0.025</v>
      </c>
      <c r="J6" s="8">
        <v>0.025</v>
      </c>
      <c r="K6" s="8">
        <v>0.02125</v>
      </c>
      <c r="L6" s="8">
        <v>0.0175</v>
      </c>
      <c r="M6" s="8">
        <v>0.013750000000000002</v>
      </c>
      <c r="N6" s="8">
        <v>0.01</v>
      </c>
      <c r="O6" s="8">
        <v>0.01</v>
      </c>
      <c r="P6" s="8">
        <v>0.01</v>
      </c>
      <c r="Q6" s="8">
        <v>0.01</v>
      </c>
      <c r="R6" s="8">
        <v>0.01</v>
      </c>
      <c r="S6" s="8">
        <v>0.01</v>
      </c>
      <c r="T6" s="8">
        <v>0.01</v>
      </c>
      <c r="U6" s="8">
        <v>0.01</v>
      </c>
      <c r="V6" s="8">
        <v>0.01</v>
      </c>
      <c r="W6" s="8">
        <v>0.01</v>
      </c>
      <c r="X6" s="8">
        <v>0.01</v>
      </c>
      <c r="Y6" s="8">
        <v>0.01</v>
      </c>
      <c r="Z6" s="8">
        <v>0.01</v>
      </c>
    </row>
    <row r="7" ht="11.25" customHeight="1">
      <c r="A7" s="5"/>
      <c r="B7" s="6" t="str">
        <f>'Paramétrage'!J11</f>
        <v>MECANISATIONS</v>
      </c>
      <c r="C7" s="8">
        <v>0.01</v>
      </c>
      <c r="D7" s="8">
        <v>0.01</v>
      </c>
      <c r="E7" s="8">
        <v>0.01</v>
      </c>
      <c r="F7" s="8">
        <v>0.01</v>
      </c>
      <c r="G7" s="8">
        <v>0.01</v>
      </c>
      <c r="H7" s="8">
        <v>0.01</v>
      </c>
      <c r="I7" s="8">
        <v>0.01</v>
      </c>
      <c r="J7" s="8">
        <v>0.01</v>
      </c>
      <c r="K7" s="8">
        <v>0.01</v>
      </c>
      <c r="L7" s="8">
        <v>0.01</v>
      </c>
      <c r="M7" s="8">
        <v>0.01</v>
      </c>
      <c r="N7" s="8">
        <v>0.01</v>
      </c>
      <c r="O7" s="8">
        <v>0.01</v>
      </c>
      <c r="P7" s="8">
        <v>0.01</v>
      </c>
      <c r="Q7" s="8">
        <v>0.01</v>
      </c>
      <c r="R7" s="8">
        <v>0.01</v>
      </c>
      <c r="S7" s="8">
        <v>0.01</v>
      </c>
      <c r="T7" s="8">
        <v>0.01</v>
      </c>
      <c r="U7" s="8">
        <v>0.01</v>
      </c>
      <c r="V7" s="8">
        <v>0.01</v>
      </c>
      <c r="W7" s="8">
        <v>0.01</v>
      </c>
      <c r="X7" s="8">
        <v>0.01</v>
      </c>
      <c r="Y7" s="8">
        <v>0.01</v>
      </c>
      <c r="Z7" s="8">
        <v>0.01</v>
      </c>
    </row>
    <row r="8" ht="11.25" customHeight="1">
      <c r="A8" s="5"/>
      <c r="B8" s="6" t="str">
        <f>'Paramétrage'!J12</f>
        <v>MATIERE</v>
      </c>
      <c r="C8" s="8">
        <v>0.005</v>
      </c>
      <c r="D8" s="8">
        <v>0.005</v>
      </c>
      <c r="E8" s="8">
        <v>0.005</v>
      </c>
      <c r="F8" s="8">
        <v>0.005</v>
      </c>
      <c r="G8" s="8">
        <v>0.005</v>
      </c>
      <c r="H8" s="8">
        <v>0.005</v>
      </c>
      <c r="I8" s="8">
        <v>0.005</v>
      </c>
      <c r="J8" s="8">
        <v>0.005</v>
      </c>
      <c r="K8" s="8">
        <v>0.00425</v>
      </c>
      <c r="L8" s="8">
        <v>0.0035000000000000005</v>
      </c>
      <c r="M8" s="8">
        <v>0.0027500000000000007</v>
      </c>
      <c r="N8" s="8">
        <v>0.002</v>
      </c>
      <c r="O8" s="8">
        <v>0.002</v>
      </c>
      <c r="P8" s="8">
        <v>0.002</v>
      </c>
      <c r="Q8" s="8">
        <v>0.002</v>
      </c>
      <c r="R8" s="8">
        <v>0.002</v>
      </c>
      <c r="S8" s="8">
        <v>0.002</v>
      </c>
      <c r="T8" s="8">
        <v>0.002</v>
      </c>
      <c r="U8" s="8">
        <v>0.002</v>
      </c>
      <c r="V8" s="8">
        <v>0.002</v>
      </c>
      <c r="W8" s="8">
        <v>0.002</v>
      </c>
      <c r="X8" s="8">
        <v>0.002</v>
      </c>
      <c r="Y8" s="8">
        <v>0.002</v>
      </c>
      <c r="Z8" s="8">
        <v>0.002</v>
      </c>
    </row>
    <row r="9" ht="11.25" customHeight="1">
      <c r="A9" s="5"/>
      <c r="B9" s="6" t="str">
        <f>'Paramétrage'!J13</f>
        <v>ATTENTE AMONT</v>
      </c>
      <c r="C9" s="8">
        <v>0.005</v>
      </c>
      <c r="D9" s="8">
        <v>0.005</v>
      </c>
      <c r="E9" s="8">
        <v>0.005</v>
      </c>
      <c r="F9" s="8">
        <v>0.005</v>
      </c>
      <c r="G9" s="8">
        <v>0.005</v>
      </c>
      <c r="H9" s="8">
        <v>0.005</v>
      </c>
      <c r="I9" s="8">
        <v>0.005</v>
      </c>
      <c r="J9" s="8">
        <v>0.005</v>
      </c>
      <c r="K9" s="8">
        <v>0.00425</v>
      </c>
      <c r="L9" s="8">
        <v>0.0035000000000000005</v>
      </c>
      <c r="M9" s="8">
        <v>0.0027500000000000007</v>
      </c>
      <c r="N9" s="8">
        <v>0.002</v>
      </c>
      <c r="O9" s="8">
        <v>0.002</v>
      </c>
      <c r="P9" s="8">
        <v>0.002</v>
      </c>
      <c r="Q9" s="8">
        <v>0.002</v>
      </c>
      <c r="R9" s="8">
        <v>0.002</v>
      </c>
      <c r="S9" s="8">
        <v>0.002</v>
      </c>
      <c r="T9" s="8">
        <v>0.002</v>
      </c>
      <c r="U9" s="8">
        <v>0.002</v>
      </c>
      <c r="V9" s="8">
        <v>0.002</v>
      </c>
      <c r="W9" s="8">
        <v>0.002</v>
      </c>
      <c r="X9" s="8">
        <v>0.002</v>
      </c>
      <c r="Y9" s="8">
        <v>0.002</v>
      </c>
      <c r="Z9" s="8">
        <v>0.002</v>
      </c>
    </row>
    <row r="10" ht="11.25" customHeight="1">
      <c r="A10" s="5"/>
      <c r="B10" s="6" t="str">
        <f>'Paramétrage'!J14</f>
        <v>SATURATION</v>
      </c>
      <c r="C10" s="8">
        <v>0.01</v>
      </c>
      <c r="D10" s="8">
        <v>0.01</v>
      </c>
      <c r="E10" s="8">
        <v>0.01</v>
      </c>
      <c r="F10" s="8">
        <v>0.01</v>
      </c>
      <c r="G10" s="8">
        <v>0.01</v>
      </c>
      <c r="H10" s="8">
        <v>0.01</v>
      </c>
      <c r="I10" s="8">
        <v>0.01</v>
      </c>
      <c r="J10" s="8">
        <v>0.01</v>
      </c>
      <c r="K10" s="8">
        <v>0.00875</v>
      </c>
      <c r="L10" s="8">
        <v>0.007500000000000001</v>
      </c>
      <c r="M10" s="8">
        <v>0.00625</v>
      </c>
      <c r="N10" s="8">
        <v>0.005</v>
      </c>
      <c r="O10" s="8">
        <v>0.005</v>
      </c>
      <c r="P10" s="8">
        <v>0.005</v>
      </c>
      <c r="Q10" s="8">
        <v>0.005</v>
      </c>
      <c r="R10" s="8">
        <v>0.005</v>
      </c>
      <c r="S10" s="8">
        <v>0.005</v>
      </c>
      <c r="T10" s="8">
        <v>0.005</v>
      </c>
      <c r="U10" s="8">
        <v>0.005</v>
      </c>
      <c r="V10" s="8">
        <v>0.005</v>
      </c>
      <c r="W10" s="8">
        <v>0.005</v>
      </c>
      <c r="X10" s="8">
        <v>0.005</v>
      </c>
      <c r="Y10" s="8">
        <v>0.005</v>
      </c>
      <c r="Z10" s="8">
        <v>0.005</v>
      </c>
    </row>
    <row r="11" ht="11.25" customHeight="1">
      <c r="A11" s="5"/>
      <c r="B11" s="6" t="str">
        <f>'Paramétrage'!J15</f>
        <v>PREPARATION CONVOI</v>
      </c>
      <c r="C11" s="8">
        <v>0.005</v>
      </c>
      <c r="D11" s="8">
        <v>0.005</v>
      </c>
      <c r="E11" s="8">
        <v>0.005</v>
      </c>
      <c r="F11" s="8">
        <v>0.005</v>
      </c>
      <c r="G11" s="8">
        <v>0.005</v>
      </c>
      <c r="H11" s="8">
        <v>0.005</v>
      </c>
      <c r="I11" s="8">
        <v>0.005</v>
      </c>
      <c r="J11" s="8">
        <v>0.005</v>
      </c>
      <c r="K11" s="8">
        <v>0.0045000000000000005</v>
      </c>
      <c r="L11" s="8">
        <v>0.004</v>
      </c>
      <c r="M11" s="8">
        <v>0.0035</v>
      </c>
      <c r="N11" s="8">
        <v>0.003</v>
      </c>
      <c r="O11" s="8">
        <v>0.003</v>
      </c>
      <c r="P11" s="8">
        <v>0.003</v>
      </c>
      <c r="Q11" s="8">
        <v>0.003</v>
      </c>
      <c r="R11" s="8">
        <v>0.003</v>
      </c>
      <c r="S11" s="8">
        <v>0.003</v>
      </c>
      <c r="T11" s="8">
        <v>0.003</v>
      </c>
      <c r="U11" s="8">
        <v>0.003</v>
      </c>
      <c r="V11" s="8">
        <v>0.003</v>
      </c>
      <c r="W11" s="8">
        <v>0.003</v>
      </c>
      <c r="X11" s="8">
        <v>0.003</v>
      </c>
      <c r="Y11" s="8">
        <v>0.003</v>
      </c>
      <c r="Z11" s="8">
        <v>0.003</v>
      </c>
    </row>
    <row r="12" ht="11.25" customHeight="1">
      <c r="A12" s="5"/>
      <c r="B12" s="6" t="str">
        <f>'Paramétrage'!J16</f>
        <v>OPERATEURS</v>
      </c>
      <c r="C12" s="8">
        <v>0.005</v>
      </c>
      <c r="D12" s="8">
        <v>0.005</v>
      </c>
      <c r="E12" s="8">
        <v>0.005</v>
      </c>
      <c r="F12" s="8">
        <v>0.005</v>
      </c>
      <c r="G12" s="8">
        <v>0.005</v>
      </c>
      <c r="H12" s="8">
        <v>0.005</v>
      </c>
      <c r="I12" s="8">
        <v>0.005</v>
      </c>
      <c r="J12" s="8">
        <v>0.005</v>
      </c>
      <c r="K12" s="8">
        <v>0.00425</v>
      </c>
      <c r="L12" s="8">
        <v>0.0035000000000000005</v>
      </c>
      <c r="M12" s="8">
        <v>0.0027500000000000007</v>
      </c>
      <c r="N12" s="8">
        <v>0.002</v>
      </c>
      <c r="O12" s="8">
        <v>0.002</v>
      </c>
      <c r="P12" s="8">
        <v>0.002</v>
      </c>
      <c r="Q12" s="8">
        <v>0.002</v>
      </c>
      <c r="R12" s="8">
        <v>0.002</v>
      </c>
      <c r="S12" s="8">
        <v>0.002</v>
      </c>
      <c r="T12" s="8">
        <v>0.002</v>
      </c>
      <c r="U12" s="8">
        <v>0.002</v>
      </c>
      <c r="V12" s="8">
        <v>0.002</v>
      </c>
      <c r="W12" s="8">
        <v>0.002</v>
      </c>
      <c r="X12" s="8">
        <v>0.002</v>
      </c>
      <c r="Y12" s="8">
        <v>0.002</v>
      </c>
      <c r="Z12" s="8">
        <v>0.002</v>
      </c>
    </row>
    <row r="13" ht="11.25" customHeight="1">
      <c r="A13" s="5"/>
      <c r="B13" s="6" t="str">
        <f>'Paramétrage'!J17</f>
        <v>NON RENSEIGNEE</v>
      </c>
      <c r="C13" s="8">
        <v>0.01</v>
      </c>
      <c r="D13" s="8">
        <v>0.01</v>
      </c>
      <c r="E13" s="8">
        <v>0.01</v>
      </c>
      <c r="F13" s="8">
        <v>0.01</v>
      </c>
      <c r="G13" s="8">
        <v>0.01</v>
      </c>
      <c r="H13" s="8">
        <v>0.01</v>
      </c>
      <c r="I13" s="8">
        <v>0.01</v>
      </c>
      <c r="J13" s="8">
        <v>0.01</v>
      </c>
      <c r="K13" s="8">
        <v>0.00775</v>
      </c>
      <c r="L13" s="8">
        <v>0.0055</v>
      </c>
      <c r="M13" s="8">
        <v>0.0032499999999999994</v>
      </c>
      <c r="N13" s="8">
        <v>0.001</v>
      </c>
      <c r="O13" s="8">
        <v>0.001</v>
      </c>
      <c r="P13" s="8">
        <v>0.001</v>
      </c>
      <c r="Q13" s="8">
        <v>0.001</v>
      </c>
      <c r="R13" s="8">
        <v>0.001</v>
      </c>
      <c r="S13" s="8">
        <v>0.001</v>
      </c>
      <c r="T13" s="8">
        <v>0.001</v>
      </c>
      <c r="U13" s="8">
        <v>0.001</v>
      </c>
      <c r="V13" s="8">
        <v>0.001</v>
      </c>
      <c r="W13" s="8">
        <v>0.001</v>
      </c>
      <c r="X13" s="8">
        <v>0.001</v>
      </c>
      <c r="Y13" s="8">
        <v>0.001</v>
      </c>
      <c r="Z13" s="8">
        <v>0.001</v>
      </c>
    </row>
    <row r="14" ht="11.25" customHeight="1">
      <c r="A14" s="5"/>
      <c r="B14" s="6" t="str">
        <f>'Paramétrage'!J18</f>
        <v>MONTAGE CONVOI</v>
      </c>
      <c r="C14" s="8">
        <v>0.082</v>
      </c>
      <c r="D14" s="8">
        <v>0.082</v>
      </c>
      <c r="E14" s="8">
        <v>0.082</v>
      </c>
      <c r="F14" s="8">
        <v>0.082</v>
      </c>
      <c r="G14" s="8">
        <v>0.082</v>
      </c>
      <c r="H14" s="8">
        <v>0.082</v>
      </c>
      <c r="I14" s="8">
        <v>0.082</v>
      </c>
      <c r="J14" s="8">
        <v>0.082</v>
      </c>
      <c r="K14" s="8">
        <v>0.07425</v>
      </c>
      <c r="L14" s="8">
        <v>0.06649999999999999</v>
      </c>
      <c r="M14" s="8">
        <v>0.05874999999999999</v>
      </c>
      <c r="N14" s="8">
        <v>0.051</v>
      </c>
      <c r="O14" s="8">
        <v>0.051</v>
      </c>
      <c r="P14" s="8">
        <v>0.051</v>
      </c>
      <c r="Q14" s="8">
        <v>0.051</v>
      </c>
      <c r="R14" s="8">
        <v>0.051</v>
      </c>
      <c r="S14" s="8">
        <v>0.051</v>
      </c>
      <c r="T14" s="8">
        <v>0.051</v>
      </c>
      <c r="U14" s="8">
        <v>0.051</v>
      </c>
      <c r="V14" s="8">
        <v>0.051</v>
      </c>
      <c r="W14" s="8">
        <v>0.051</v>
      </c>
      <c r="X14" s="8">
        <v>0.051</v>
      </c>
      <c r="Y14" s="8">
        <v>0.051</v>
      </c>
      <c r="Z14" s="8">
        <v>0.051</v>
      </c>
    </row>
    <row r="15" ht="11.25" customHeight="1">
      <c r="A15" s="5"/>
      <c r="B15" s="6" t="str">
        <f>'Paramétrage'!J19</f>
        <v>REMPLISSAGE</v>
      </c>
      <c r="C15" s="8">
        <v>0.008</v>
      </c>
      <c r="D15" s="8">
        <v>0.008</v>
      </c>
      <c r="E15" s="8">
        <v>0.008</v>
      </c>
      <c r="F15" s="8">
        <v>0.008</v>
      </c>
      <c r="G15" s="8">
        <v>0.008</v>
      </c>
      <c r="H15" s="8">
        <v>0.008</v>
      </c>
      <c r="I15" s="8">
        <v>0.008</v>
      </c>
      <c r="J15" s="8">
        <v>0.008</v>
      </c>
      <c r="K15" s="8">
        <v>0.00675</v>
      </c>
      <c r="L15" s="8">
        <v>0.0055</v>
      </c>
      <c r="M15" s="8">
        <v>0.0042499999999999994</v>
      </c>
      <c r="N15" s="8">
        <v>0.003</v>
      </c>
      <c r="O15" s="8">
        <v>0.003</v>
      </c>
      <c r="P15" s="8">
        <v>0.003</v>
      </c>
      <c r="Q15" s="8">
        <v>0.003</v>
      </c>
      <c r="R15" s="8">
        <v>0.003</v>
      </c>
      <c r="S15" s="8">
        <v>0.003</v>
      </c>
      <c r="T15" s="8">
        <v>0.003</v>
      </c>
      <c r="U15" s="8">
        <v>0.003</v>
      </c>
      <c r="V15" s="8">
        <v>0.003</v>
      </c>
      <c r="W15" s="8">
        <v>0.003</v>
      </c>
      <c r="X15" s="8">
        <v>0.003</v>
      </c>
      <c r="Y15" s="8">
        <v>0.003</v>
      </c>
      <c r="Z15" s="8">
        <v>0.003</v>
      </c>
    </row>
    <row r="16" ht="11.25" customHeight="1">
      <c r="A16" s="5"/>
      <c r="B16" s="6" t="str">
        <f>'Paramétrage'!J20</f>
        <v>PRE-ACCEPTATION</v>
      </c>
      <c r="C16" s="8">
        <v>0.001</v>
      </c>
      <c r="D16" s="8">
        <v>0.001</v>
      </c>
      <c r="E16" s="8">
        <v>0.001</v>
      </c>
      <c r="F16" s="8">
        <v>0.001</v>
      </c>
      <c r="G16" s="8">
        <v>0.001</v>
      </c>
      <c r="H16" s="8">
        <v>0.001</v>
      </c>
      <c r="I16" s="8">
        <v>0.001</v>
      </c>
      <c r="J16" s="8">
        <v>0.001</v>
      </c>
      <c r="K16" s="8">
        <v>0.001</v>
      </c>
      <c r="L16" s="8">
        <v>0.001</v>
      </c>
      <c r="M16" s="8">
        <v>0.001</v>
      </c>
      <c r="N16" s="8">
        <v>0.001</v>
      </c>
      <c r="O16" s="8">
        <v>0.001</v>
      </c>
      <c r="P16" s="8">
        <v>0.001</v>
      </c>
      <c r="Q16" s="8">
        <v>0.001</v>
      </c>
      <c r="R16" s="8">
        <v>0.001</v>
      </c>
      <c r="S16" s="8">
        <v>0.001</v>
      </c>
      <c r="T16" s="8">
        <v>0.001</v>
      </c>
      <c r="U16" s="8">
        <v>0.001</v>
      </c>
      <c r="V16" s="8">
        <v>0.001</v>
      </c>
      <c r="W16" s="8">
        <v>0.001</v>
      </c>
      <c r="X16" s="8">
        <v>0.001</v>
      </c>
      <c r="Y16" s="8">
        <v>0.001</v>
      </c>
      <c r="Z16" s="8">
        <v>0.001</v>
      </c>
    </row>
    <row r="17" ht="11.25" customHeight="1">
      <c r="A17" s="5"/>
      <c r="B17" s="6" t="str">
        <f>'Paramétrage'!J21</f>
        <v>CHANGEMENT D'INDEX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  <c r="Y17" s="8">
        <v>0.0</v>
      </c>
      <c r="Z17" s="8">
        <v>0.0</v>
      </c>
    </row>
    <row r="18" ht="11.25" customHeight="1">
      <c r="A18" s="5"/>
      <c r="B18" s="6" t="str">
        <f>'Paramétrage'!J22</f>
        <v>MISE EN OPERATION</v>
      </c>
      <c r="C18" s="8">
        <v>0.002</v>
      </c>
      <c r="D18" s="8">
        <v>0.002</v>
      </c>
      <c r="E18" s="8">
        <v>0.002</v>
      </c>
      <c r="F18" s="8">
        <v>0.002</v>
      </c>
      <c r="G18" s="8">
        <v>0.002</v>
      </c>
      <c r="H18" s="8">
        <v>0.002</v>
      </c>
      <c r="I18" s="8">
        <v>0.002</v>
      </c>
      <c r="J18" s="8">
        <v>0.002</v>
      </c>
      <c r="K18" s="8">
        <v>0.00175</v>
      </c>
      <c r="L18" s="8">
        <v>0.0015</v>
      </c>
      <c r="M18" s="8">
        <v>0.00125</v>
      </c>
      <c r="N18" s="8">
        <v>0.001</v>
      </c>
      <c r="O18" s="8">
        <v>0.001</v>
      </c>
      <c r="P18" s="8">
        <v>0.001</v>
      </c>
      <c r="Q18" s="8">
        <v>0.001</v>
      </c>
      <c r="R18" s="8">
        <v>0.001</v>
      </c>
      <c r="S18" s="8">
        <v>0.001</v>
      </c>
      <c r="T18" s="8">
        <v>0.001</v>
      </c>
      <c r="U18" s="8">
        <v>0.001</v>
      </c>
      <c r="V18" s="8">
        <v>0.001</v>
      </c>
      <c r="W18" s="8">
        <v>0.001</v>
      </c>
      <c r="X18" s="8">
        <v>0.001</v>
      </c>
      <c r="Y18" s="8">
        <v>0.001</v>
      </c>
      <c r="Z18" s="8">
        <v>0.001</v>
      </c>
    </row>
    <row r="19" ht="11.25" customHeight="1">
      <c r="A19" s="5"/>
      <c r="B19" s="6" t="str">
        <f>'Paramétrage'!J23</f>
        <v>CHANGEMENT DE BOBINE</v>
      </c>
      <c r="C19" s="8">
        <v>0.0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8">
        <v>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</row>
    <row r="20" ht="11.25" customHeight="1">
      <c r="A20" s="5"/>
      <c r="B20" s="6" t="str">
        <f>'Paramétrage'!J24</f>
        <v>CHANGEMENT DE BAC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0.0</v>
      </c>
      <c r="S20" s="8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</row>
    <row r="21" ht="11.25" customHeight="1">
      <c r="A21" s="5"/>
      <c r="B21" s="6" t="str">
        <f>'Paramétrage'!J25</f>
        <v>CHANGEMENT DE PALETTE</v>
      </c>
      <c r="C21" s="8">
        <v>0.0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</row>
    <row r="22" ht="11.25" customHeight="1">
      <c r="A22" s="5"/>
      <c r="B22" s="6" t="str">
        <f>'Paramétrage'!J26</f>
        <v>REBUTS</v>
      </c>
      <c r="C22" s="9">
        <v>0.0</v>
      </c>
      <c r="D22" s="9">
        <v>0.0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9">
        <v>0.0</v>
      </c>
      <c r="W22" s="9">
        <v>0.0</v>
      </c>
      <c r="X22" s="9">
        <v>0.0</v>
      </c>
      <c r="Y22" s="9">
        <v>0.0</v>
      </c>
      <c r="Z22" s="9">
        <v>0.0</v>
      </c>
    </row>
    <row r="23" ht="11.25" customHeight="1">
      <c r="A23" s="5"/>
      <c r="B23" s="6" t="str">
        <f>'Paramétrage'!J27</f>
        <v>RETOUCHES</v>
      </c>
      <c r="C23" s="9">
        <v>0.005</v>
      </c>
      <c r="D23" s="9">
        <v>0.005</v>
      </c>
      <c r="E23" s="9">
        <v>0.005</v>
      </c>
      <c r="F23" s="9">
        <v>0.005</v>
      </c>
      <c r="G23" s="9">
        <v>0.005</v>
      </c>
      <c r="H23" s="9">
        <v>0.005</v>
      </c>
      <c r="I23" s="9">
        <v>0.005</v>
      </c>
      <c r="J23" s="9">
        <v>0.005</v>
      </c>
      <c r="K23" s="9">
        <v>0.005</v>
      </c>
      <c r="L23" s="9">
        <v>0.005</v>
      </c>
      <c r="M23" s="9">
        <v>0.005</v>
      </c>
      <c r="N23" s="9">
        <v>0.005</v>
      </c>
      <c r="O23" s="9">
        <v>0.005</v>
      </c>
      <c r="P23" s="9">
        <v>0.005</v>
      </c>
      <c r="Q23" s="9">
        <v>0.005</v>
      </c>
      <c r="R23" s="9">
        <v>0.005</v>
      </c>
      <c r="S23" s="9">
        <v>0.005</v>
      </c>
      <c r="T23" s="9">
        <v>0.005</v>
      </c>
      <c r="U23" s="9">
        <v>0.005</v>
      </c>
      <c r="V23" s="9">
        <v>0.005</v>
      </c>
      <c r="W23" s="9">
        <v>0.005</v>
      </c>
      <c r="X23" s="9">
        <v>0.005</v>
      </c>
      <c r="Y23" s="9">
        <v>0.005</v>
      </c>
      <c r="Z23" s="9">
        <v>0.005</v>
      </c>
    </row>
    <row r="24" ht="12.0" customHeight="1">
      <c r="A24" s="5"/>
      <c r="B24" s="6" t="str">
        <f>'Paramétrage'!J28</f>
        <v>PERTES CYCLE</v>
      </c>
      <c r="C24" s="10">
        <v>0.1</v>
      </c>
      <c r="D24" s="10">
        <v>0.1</v>
      </c>
      <c r="E24" s="10">
        <v>0.1</v>
      </c>
      <c r="F24" s="10">
        <v>0.1</v>
      </c>
      <c r="G24" s="10">
        <v>0.1</v>
      </c>
      <c r="H24" s="10">
        <v>0.1</v>
      </c>
      <c r="I24" s="10">
        <v>0.1</v>
      </c>
      <c r="J24" s="10">
        <v>0.1</v>
      </c>
      <c r="K24" s="10">
        <v>0.085</v>
      </c>
      <c r="L24" s="10">
        <v>0.07</v>
      </c>
      <c r="M24" s="10">
        <v>0.05500000000000001</v>
      </c>
      <c r="N24" s="10">
        <v>0.04</v>
      </c>
      <c r="O24" s="10">
        <v>0.04</v>
      </c>
      <c r="P24" s="10">
        <v>0.04</v>
      </c>
      <c r="Q24" s="10">
        <v>0.04</v>
      </c>
      <c r="R24" s="10">
        <v>0.04</v>
      </c>
      <c r="S24" s="10">
        <v>0.04</v>
      </c>
      <c r="T24" s="10">
        <v>0.04</v>
      </c>
      <c r="U24" s="10">
        <v>0.04</v>
      </c>
      <c r="V24" s="10">
        <v>0.04</v>
      </c>
      <c r="W24" s="10">
        <v>0.04</v>
      </c>
      <c r="X24" s="10">
        <v>0.04</v>
      </c>
      <c r="Y24" s="10">
        <v>0.04</v>
      </c>
      <c r="Z24" s="10">
        <v>0.04</v>
      </c>
    </row>
    <row r="25" ht="13.5" customHeight="1">
      <c r="A25" s="5"/>
      <c r="B25" s="2" t="s">
        <v>1</v>
      </c>
      <c r="C25" s="11">
        <f t="shared" ref="C25:Z25" si="1">SUM(C2:C24)</f>
        <v>0.41</v>
      </c>
      <c r="D25" s="12">
        <f t="shared" si="1"/>
        <v>0.41</v>
      </c>
      <c r="E25" s="12">
        <f t="shared" si="1"/>
        <v>0.41</v>
      </c>
      <c r="F25" s="12">
        <f t="shared" si="1"/>
        <v>0.41</v>
      </c>
      <c r="G25" s="12">
        <f t="shared" si="1"/>
        <v>0.41</v>
      </c>
      <c r="H25" s="12">
        <f t="shared" si="1"/>
        <v>0.41</v>
      </c>
      <c r="I25" s="12">
        <f t="shared" si="1"/>
        <v>0.41</v>
      </c>
      <c r="J25" s="11">
        <f t="shared" si="1"/>
        <v>0.41</v>
      </c>
      <c r="K25" s="11">
        <f t="shared" si="1"/>
        <v>0.3615</v>
      </c>
      <c r="L25" s="11">
        <f t="shared" si="1"/>
        <v>0.313</v>
      </c>
      <c r="M25" s="11">
        <f t="shared" si="1"/>
        <v>0.2645</v>
      </c>
      <c r="N25" s="11">
        <f t="shared" si="1"/>
        <v>0.216</v>
      </c>
      <c r="O25" s="11">
        <f t="shared" si="1"/>
        <v>0.216</v>
      </c>
      <c r="P25" s="11">
        <f t="shared" si="1"/>
        <v>0.216</v>
      </c>
      <c r="Q25" s="11">
        <f t="shared" si="1"/>
        <v>0.216</v>
      </c>
      <c r="R25" s="11">
        <f t="shared" si="1"/>
        <v>0.216</v>
      </c>
      <c r="S25" s="11">
        <f t="shared" si="1"/>
        <v>0.216</v>
      </c>
      <c r="T25" s="11">
        <f t="shared" si="1"/>
        <v>0.216</v>
      </c>
      <c r="U25" s="11">
        <f t="shared" si="1"/>
        <v>0.216</v>
      </c>
      <c r="V25" s="11">
        <f t="shared" si="1"/>
        <v>0.216</v>
      </c>
      <c r="W25" s="12">
        <f t="shared" si="1"/>
        <v>0.216</v>
      </c>
      <c r="X25" s="12">
        <f t="shared" si="1"/>
        <v>0.216</v>
      </c>
      <c r="Y25" s="12">
        <f t="shared" si="1"/>
        <v>0.216</v>
      </c>
      <c r="Z25" s="11">
        <f t="shared" si="1"/>
        <v>0.216</v>
      </c>
    </row>
    <row r="26" ht="8.25" customHeight="1">
      <c r="A26" s="5"/>
      <c r="B26" s="13" t="str">
        <f>'Paramétrage'!J29</f>
        <v>ARRETS MACHINES</v>
      </c>
      <c r="C26" s="14">
        <f t="shared" ref="C26:Z26" si="2">SUM(C2:C4)</f>
        <v>0.102</v>
      </c>
      <c r="D26" s="15">
        <f t="shared" si="2"/>
        <v>0.102</v>
      </c>
      <c r="E26" s="15">
        <f t="shared" si="2"/>
        <v>0.102</v>
      </c>
      <c r="F26" s="15">
        <f t="shared" si="2"/>
        <v>0.102</v>
      </c>
      <c r="G26" s="15">
        <f t="shared" si="2"/>
        <v>0.102</v>
      </c>
      <c r="H26" s="15">
        <f t="shared" si="2"/>
        <v>0.102</v>
      </c>
      <c r="I26" s="15">
        <f t="shared" si="2"/>
        <v>0.102</v>
      </c>
      <c r="J26" s="14">
        <f t="shared" si="2"/>
        <v>0.102</v>
      </c>
      <c r="K26" s="14">
        <f t="shared" si="2"/>
        <v>0.089</v>
      </c>
      <c r="L26" s="14">
        <f t="shared" si="2"/>
        <v>0.076</v>
      </c>
      <c r="M26" s="14">
        <f t="shared" si="2"/>
        <v>0.063</v>
      </c>
      <c r="N26" s="14">
        <f t="shared" si="2"/>
        <v>0.05</v>
      </c>
      <c r="O26" s="14">
        <f t="shared" si="2"/>
        <v>0.05</v>
      </c>
      <c r="P26" s="14">
        <f t="shared" si="2"/>
        <v>0.05</v>
      </c>
      <c r="Q26" s="14">
        <f t="shared" si="2"/>
        <v>0.05</v>
      </c>
      <c r="R26" s="14">
        <f t="shared" si="2"/>
        <v>0.05</v>
      </c>
      <c r="S26" s="14">
        <f t="shared" si="2"/>
        <v>0.05</v>
      </c>
      <c r="T26" s="14">
        <f t="shared" si="2"/>
        <v>0.05</v>
      </c>
      <c r="U26" s="14">
        <f t="shared" si="2"/>
        <v>0.05</v>
      </c>
      <c r="V26" s="14">
        <f t="shared" si="2"/>
        <v>0.05</v>
      </c>
      <c r="W26" s="15">
        <f t="shared" si="2"/>
        <v>0.05</v>
      </c>
      <c r="X26" s="15">
        <f t="shared" si="2"/>
        <v>0.05</v>
      </c>
      <c r="Y26" s="15">
        <f t="shared" si="2"/>
        <v>0.05</v>
      </c>
      <c r="Z26" s="14">
        <f t="shared" si="2"/>
        <v>0.05</v>
      </c>
    </row>
    <row r="27" ht="8.25" customHeight="1">
      <c r="A27" s="5"/>
      <c r="B27" s="13" t="str">
        <f>'Paramétrage'!J30</f>
        <v>ARRETS OUTILS</v>
      </c>
      <c r="C27" s="16">
        <f t="shared" ref="C27:Z27" si="3">SUM(C5:C7)</f>
        <v>0.07</v>
      </c>
      <c r="D27" s="17">
        <f t="shared" si="3"/>
        <v>0.07</v>
      </c>
      <c r="E27" s="17">
        <f t="shared" si="3"/>
        <v>0.07</v>
      </c>
      <c r="F27" s="17">
        <f t="shared" si="3"/>
        <v>0.07</v>
      </c>
      <c r="G27" s="17">
        <f t="shared" si="3"/>
        <v>0.07</v>
      </c>
      <c r="H27" s="17">
        <f t="shared" si="3"/>
        <v>0.07</v>
      </c>
      <c r="I27" s="17">
        <f t="shared" si="3"/>
        <v>0.07</v>
      </c>
      <c r="J27" s="16">
        <f t="shared" si="3"/>
        <v>0.07</v>
      </c>
      <c r="K27" s="16">
        <f t="shared" si="3"/>
        <v>0.065</v>
      </c>
      <c r="L27" s="16">
        <f t="shared" si="3"/>
        <v>0.06</v>
      </c>
      <c r="M27" s="16">
        <f t="shared" si="3"/>
        <v>0.055</v>
      </c>
      <c r="N27" s="16">
        <f t="shared" si="3"/>
        <v>0.05</v>
      </c>
      <c r="O27" s="16">
        <f t="shared" si="3"/>
        <v>0.05</v>
      </c>
      <c r="P27" s="16">
        <f t="shared" si="3"/>
        <v>0.05</v>
      </c>
      <c r="Q27" s="16">
        <f t="shared" si="3"/>
        <v>0.05</v>
      </c>
      <c r="R27" s="16">
        <f t="shared" si="3"/>
        <v>0.05</v>
      </c>
      <c r="S27" s="16">
        <f t="shared" si="3"/>
        <v>0.05</v>
      </c>
      <c r="T27" s="16">
        <f t="shared" si="3"/>
        <v>0.05</v>
      </c>
      <c r="U27" s="16">
        <f t="shared" si="3"/>
        <v>0.05</v>
      </c>
      <c r="V27" s="16">
        <f t="shared" si="3"/>
        <v>0.05</v>
      </c>
      <c r="W27" s="17">
        <f t="shared" si="3"/>
        <v>0.05</v>
      </c>
      <c r="X27" s="17">
        <f t="shared" si="3"/>
        <v>0.05</v>
      </c>
      <c r="Y27" s="17">
        <f t="shared" si="3"/>
        <v>0.05</v>
      </c>
      <c r="Z27" s="16">
        <f t="shared" si="3"/>
        <v>0.05</v>
      </c>
    </row>
    <row r="28" ht="8.25" customHeight="1">
      <c r="A28" s="5"/>
      <c r="B28" s="13" t="str">
        <f>'Paramétrage'!J31</f>
        <v>ARRETS INDUITS</v>
      </c>
      <c r="C28" s="16">
        <f t="shared" ref="C28:Z28" si="4">SUM(C8:C13)</f>
        <v>0.04</v>
      </c>
      <c r="D28" s="17">
        <f t="shared" si="4"/>
        <v>0.04</v>
      </c>
      <c r="E28" s="17">
        <f t="shared" si="4"/>
        <v>0.04</v>
      </c>
      <c r="F28" s="17">
        <f t="shared" si="4"/>
        <v>0.04</v>
      </c>
      <c r="G28" s="17">
        <f t="shared" si="4"/>
        <v>0.04</v>
      </c>
      <c r="H28" s="17">
        <f t="shared" si="4"/>
        <v>0.04</v>
      </c>
      <c r="I28" s="17">
        <f t="shared" si="4"/>
        <v>0.04</v>
      </c>
      <c r="J28" s="16">
        <f t="shared" si="4"/>
        <v>0.04</v>
      </c>
      <c r="K28" s="16">
        <f t="shared" si="4"/>
        <v>0.03375</v>
      </c>
      <c r="L28" s="16">
        <f t="shared" si="4"/>
        <v>0.0275</v>
      </c>
      <c r="M28" s="16">
        <f t="shared" si="4"/>
        <v>0.02125</v>
      </c>
      <c r="N28" s="16">
        <f t="shared" si="4"/>
        <v>0.015</v>
      </c>
      <c r="O28" s="16">
        <f t="shared" si="4"/>
        <v>0.015</v>
      </c>
      <c r="P28" s="16">
        <f t="shared" si="4"/>
        <v>0.015</v>
      </c>
      <c r="Q28" s="16">
        <f t="shared" si="4"/>
        <v>0.015</v>
      </c>
      <c r="R28" s="16">
        <f t="shared" si="4"/>
        <v>0.015</v>
      </c>
      <c r="S28" s="16">
        <f t="shared" si="4"/>
        <v>0.015</v>
      </c>
      <c r="T28" s="16">
        <f t="shared" si="4"/>
        <v>0.015</v>
      </c>
      <c r="U28" s="16">
        <f t="shared" si="4"/>
        <v>0.015</v>
      </c>
      <c r="V28" s="16">
        <f t="shared" si="4"/>
        <v>0.015</v>
      </c>
      <c r="W28" s="17">
        <f t="shared" si="4"/>
        <v>0.015</v>
      </c>
      <c r="X28" s="17">
        <f t="shared" si="4"/>
        <v>0.015</v>
      </c>
      <c r="Y28" s="17">
        <f t="shared" si="4"/>
        <v>0.015</v>
      </c>
      <c r="Z28" s="16">
        <f t="shared" si="4"/>
        <v>0.015</v>
      </c>
    </row>
    <row r="29" ht="8.25" customHeight="1">
      <c r="A29" s="5"/>
      <c r="B29" s="13" t="str">
        <f>'Paramétrage'!J32</f>
        <v>ARRETS FONCTIONNELS</v>
      </c>
      <c r="C29" s="16">
        <f t="shared" ref="C29:Z29" si="5">SUM(C14:C21)</f>
        <v>0.093</v>
      </c>
      <c r="D29" s="17">
        <f t="shared" si="5"/>
        <v>0.093</v>
      </c>
      <c r="E29" s="17">
        <f t="shared" si="5"/>
        <v>0.093</v>
      </c>
      <c r="F29" s="17">
        <f t="shared" si="5"/>
        <v>0.093</v>
      </c>
      <c r="G29" s="17">
        <f t="shared" si="5"/>
        <v>0.093</v>
      </c>
      <c r="H29" s="17">
        <f t="shared" si="5"/>
        <v>0.093</v>
      </c>
      <c r="I29" s="17">
        <f t="shared" si="5"/>
        <v>0.093</v>
      </c>
      <c r="J29" s="16">
        <f t="shared" si="5"/>
        <v>0.093</v>
      </c>
      <c r="K29" s="16">
        <f t="shared" si="5"/>
        <v>0.08375</v>
      </c>
      <c r="L29" s="16">
        <f t="shared" si="5"/>
        <v>0.0745</v>
      </c>
      <c r="M29" s="16">
        <f t="shared" si="5"/>
        <v>0.06525</v>
      </c>
      <c r="N29" s="16">
        <f t="shared" si="5"/>
        <v>0.056</v>
      </c>
      <c r="O29" s="16">
        <f t="shared" si="5"/>
        <v>0.056</v>
      </c>
      <c r="P29" s="16">
        <f t="shared" si="5"/>
        <v>0.056</v>
      </c>
      <c r="Q29" s="16">
        <f t="shared" si="5"/>
        <v>0.056</v>
      </c>
      <c r="R29" s="16">
        <f t="shared" si="5"/>
        <v>0.056</v>
      </c>
      <c r="S29" s="16">
        <f t="shared" si="5"/>
        <v>0.056</v>
      </c>
      <c r="T29" s="16">
        <f t="shared" si="5"/>
        <v>0.056</v>
      </c>
      <c r="U29" s="16">
        <f t="shared" si="5"/>
        <v>0.056</v>
      </c>
      <c r="V29" s="16">
        <f t="shared" si="5"/>
        <v>0.056</v>
      </c>
      <c r="W29" s="17">
        <f t="shared" si="5"/>
        <v>0.056</v>
      </c>
      <c r="X29" s="17">
        <f t="shared" si="5"/>
        <v>0.056</v>
      </c>
      <c r="Y29" s="17">
        <f t="shared" si="5"/>
        <v>0.056</v>
      </c>
      <c r="Z29" s="16">
        <f t="shared" si="5"/>
        <v>0.056</v>
      </c>
    </row>
    <row r="30" ht="8.25" customHeight="1">
      <c r="A30" s="5"/>
      <c r="B30" s="13" t="str">
        <f>'Paramétrage'!J33</f>
        <v>PERTES QUALITE</v>
      </c>
      <c r="C30" s="16">
        <f t="shared" ref="C30:Z30" si="6">SUM(C22:C23)</f>
        <v>0.005</v>
      </c>
      <c r="D30" s="17">
        <f t="shared" si="6"/>
        <v>0.005</v>
      </c>
      <c r="E30" s="17">
        <f t="shared" si="6"/>
        <v>0.005</v>
      </c>
      <c r="F30" s="17">
        <f t="shared" si="6"/>
        <v>0.005</v>
      </c>
      <c r="G30" s="17">
        <f t="shared" si="6"/>
        <v>0.005</v>
      </c>
      <c r="H30" s="17">
        <f t="shared" si="6"/>
        <v>0.005</v>
      </c>
      <c r="I30" s="17">
        <f t="shared" si="6"/>
        <v>0.005</v>
      </c>
      <c r="J30" s="16">
        <f t="shared" si="6"/>
        <v>0.005</v>
      </c>
      <c r="K30" s="16">
        <f t="shared" si="6"/>
        <v>0.005</v>
      </c>
      <c r="L30" s="16">
        <f t="shared" si="6"/>
        <v>0.005</v>
      </c>
      <c r="M30" s="16">
        <f t="shared" si="6"/>
        <v>0.005</v>
      </c>
      <c r="N30" s="16">
        <f t="shared" si="6"/>
        <v>0.005</v>
      </c>
      <c r="O30" s="16">
        <f t="shared" si="6"/>
        <v>0.005</v>
      </c>
      <c r="P30" s="16">
        <f t="shared" si="6"/>
        <v>0.005</v>
      </c>
      <c r="Q30" s="16">
        <f t="shared" si="6"/>
        <v>0.005</v>
      </c>
      <c r="R30" s="16">
        <f t="shared" si="6"/>
        <v>0.005</v>
      </c>
      <c r="S30" s="16">
        <f t="shared" si="6"/>
        <v>0.005</v>
      </c>
      <c r="T30" s="16">
        <f t="shared" si="6"/>
        <v>0.005</v>
      </c>
      <c r="U30" s="16">
        <f t="shared" si="6"/>
        <v>0.005</v>
      </c>
      <c r="V30" s="16">
        <f t="shared" si="6"/>
        <v>0.005</v>
      </c>
      <c r="W30" s="17">
        <f t="shared" si="6"/>
        <v>0.005</v>
      </c>
      <c r="X30" s="17">
        <f t="shared" si="6"/>
        <v>0.005</v>
      </c>
      <c r="Y30" s="17">
        <f t="shared" si="6"/>
        <v>0.005</v>
      </c>
      <c r="Z30" s="16">
        <f t="shared" si="6"/>
        <v>0.005</v>
      </c>
    </row>
    <row r="31" ht="9.0" customHeight="1">
      <c r="A31" s="5"/>
      <c r="B31" s="13" t="str">
        <f>'Paramétrage'!J34</f>
        <v>PERTES CYCLE</v>
      </c>
      <c r="C31" s="18">
        <f t="shared" ref="C31:Z31" si="7">C24</f>
        <v>0.1</v>
      </c>
      <c r="D31" s="19">
        <f t="shared" si="7"/>
        <v>0.1</v>
      </c>
      <c r="E31" s="19">
        <f t="shared" si="7"/>
        <v>0.1</v>
      </c>
      <c r="F31" s="19">
        <f t="shared" si="7"/>
        <v>0.1</v>
      </c>
      <c r="G31" s="19">
        <f t="shared" si="7"/>
        <v>0.1</v>
      </c>
      <c r="H31" s="19">
        <f t="shared" si="7"/>
        <v>0.1</v>
      </c>
      <c r="I31" s="19">
        <f t="shared" si="7"/>
        <v>0.1</v>
      </c>
      <c r="J31" s="18">
        <f t="shared" si="7"/>
        <v>0.1</v>
      </c>
      <c r="K31" s="18">
        <f t="shared" si="7"/>
        <v>0.085</v>
      </c>
      <c r="L31" s="18">
        <f t="shared" si="7"/>
        <v>0.07</v>
      </c>
      <c r="M31" s="18">
        <f t="shared" si="7"/>
        <v>0.055</v>
      </c>
      <c r="N31" s="18">
        <f t="shared" si="7"/>
        <v>0.04</v>
      </c>
      <c r="O31" s="18">
        <f t="shared" si="7"/>
        <v>0.04</v>
      </c>
      <c r="P31" s="18">
        <f t="shared" si="7"/>
        <v>0.04</v>
      </c>
      <c r="Q31" s="18">
        <f t="shared" si="7"/>
        <v>0.04</v>
      </c>
      <c r="R31" s="18">
        <f t="shared" si="7"/>
        <v>0.04</v>
      </c>
      <c r="S31" s="18">
        <f t="shared" si="7"/>
        <v>0.04</v>
      </c>
      <c r="T31" s="18">
        <f t="shared" si="7"/>
        <v>0.04</v>
      </c>
      <c r="U31" s="18">
        <f t="shared" si="7"/>
        <v>0.04</v>
      </c>
      <c r="V31" s="18">
        <f t="shared" si="7"/>
        <v>0.04</v>
      </c>
      <c r="W31" s="19">
        <f t="shared" si="7"/>
        <v>0.04</v>
      </c>
      <c r="X31" s="19">
        <f t="shared" si="7"/>
        <v>0.04</v>
      </c>
      <c r="Y31" s="19">
        <f t="shared" si="7"/>
        <v>0.04</v>
      </c>
      <c r="Z31" s="18">
        <f t="shared" si="7"/>
        <v>0.04</v>
      </c>
    </row>
    <row r="32" ht="13.5" customHeight="1">
      <c r="A32" s="20"/>
      <c r="B32" s="2" t="s">
        <v>2</v>
      </c>
      <c r="C32" s="21">
        <f t="shared" ref="C32:Z32" si="8">100%-C25</f>
        <v>0.59</v>
      </c>
      <c r="D32" s="22">
        <f t="shared" si="8"/>
        <v>0.59</v>
      </c>
      <c r="E32" s="22">
        <f t="shared" si="8"/>
        <v>0.59</v>
      </c>
      <c r="F32" s="22">
        <f t="shared" si="8"/>
        <v>0.59</v>
      </c>
      <c r="G32" s="22">
        <f t="shared" si="8"/>
        <v>0.59</v>
      </c>
      <c r="H32" s="22">
        <f t="shared" si="8"/>
        <v>0.59</v>
      </c>
      <c r="I32" s="22">
        <f t="shared" si="8"/>
        <v>0.59</v>
      </c>
      <c r="J32" s="21">
        <f t="shared" si="8"/>
        <v>0.59</v>
      </c>
      <c r="K32" s="21">
        <f t="shared" si="8"/>
        <v>0.6385</v>
      </c>
      <c r="L32" s="21">
        <f t="shared" si="8"/>
        <v>0.687</v>
      </c>
      <c r="M32" s="21">
        <f t="shared" si="8"/>
        <v>0.7355</v>
      </c>
      <c r="N32" s="21">
        <f t="shared" si="8"/>
        <v>0.784</v>
      </c>
      <c r="O32" s="21">
        <f t="shared" si="8"/>
        <v>0.784</v>
      </c>
      <c r="P32" s="21">
        <f t="shared" si="8"/>
        <v>0.784</v>
      </c>
      <c r="Q32" s="21">
        <f t="shared" si="8"/>
        <v>0.784</v>
      </c>
      <c r="R32" s="21">
        <f t="shared" si="8"/>
        <v>0.784</v>
      </c>
      <c r="S32" s="21">
        <f t="shared" si="8"/>
        <v>0.784</v>
      </c>
      <c r="T32" s="21">
        <f t="shared" si="8"/>
        <v>0.784</v>
      </c>
      <c r="U32" s="21">
        <f t="shared" si="8"/>
        <v>0.784</v>
      </c>
      <c r="V32" s="21">
        <f t="shared" si="8"/>
        <v>0.784</v>
      </c>
      <c r="W32" s="22">
        <f t="shared" si="8"/>
        <v>0.784</v>
      </c>
      <c r="X32" s="22">
        <f t="shared" si="8"/>
        <v>0.784</v>
      </c>
      <c r="Y32" s="22">
        <f t="shared" si="8"/>
        <v>0.784</v>
      </c>
      <c r="Z32" s="21">
        <f t="shared" si="8"/>
        <v>0.784</v>
      </c>
    </row>
    <row r="33" ht="8.2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30.75" customHeight="1">
      <c r="A34" s="1" t="s">
        <v>3</v>
      </c>
      <c r="B34" s="2" t="str">
        <f>"Non RO - "&amp;VLOOKUP(A34,'Paramétrage'!$E$6:$F$16,2,FALSE)</f>
        <v>Non RO - L803</v>
      </c>
      <c r="C34" s="24">
        <f t="shared" ref="C34:Z34" si="9">C1</f>
        <v>45292</v>
      </c>
      <c r="D34" s="24">
        <f t="shared" si="9"/>
        <v>45323</v>
      </c>
      <c r="E34" s="24">
        <f t="shared" si="9"/>
        <v>45352</v>
      </c>
      <c r="F34" s="24">
        <f t="shared" si="9"/>
        <v>45383</v>
      </c>
      <c r="G34" s="24">
        <f t="shared" si="9"/>
        <v>45413</v>
      </c>
      <c r="H34" s="24">
        <f t="shared" si="9"/>
        <v>45444</v>
      </c>
      <c r="I34" s="24">
        <f t="shared" si="9"/>
        <v>45474</v>
      </c>
      <c r="J34" s="24">
        <f t="shared" si="9"/>
        <v>45505</v>
      </c>
      <c r="K34" s="24">
        <f t="shared" si="9"/>
        <v>45536</v>
      </c>
      <c r="L34" s="24">
        <f t="shared" si="9"/>
        <v>45566</v>
      </c>
      <c r="M34" s="24">
        <f t="shared" si="9"/>
        <v>45597</v>
      </c>
      <c r="N34" s="24">
        <f t="shared" si="9"/>
        <v>45627</v>
      </c>
      <c r="O34" s="24">
        <f t="shared" si="9"/>
        <v>45658</v>
      </c>
      <c r="P34" s="24">
        <f t="shared" si="9"/>
        <v>45689</v>
      </c>
      <c r="Q34" s="24">
        <f t="shared" si="9"/>
        <v>45717</v>
      </c>
      <c r="R34" s="24">
        <f t="shared" si="9"/>
        <v>45748</v>
      </c>
      <c r="S34" s="24">
        <f t="shared" si="9"/>
        <v>45778</v>
      </c>
      <c r="T34" s="24">
        <f t="shared" si="9"/>
        <v>45809</v>
      </c>
      <c r="U34" s="24">
        <f t="shared" si="9"/>
        <v>45839</v>
      </c>
      <c r="V34" s="24">
        <f t="shared" si="9"/>
        <v>45870</v>
      </c>
      <c r="W34" s="24">
        <f t="shared" si="9"/>
        <v>45901</v>
      </c>
      <c r="X34" s="24">
        <f t="shared" si="9"/>
        <v>45931</v>
      </c>
      <c r="Y34" s="24">
        <f t="shared" si="9"/>
        <v>45962</v>
      </c>
      <c r="Z34" s="24">
        <f t="shared" si="9"/>
        <v>45992</v>
      </c>
    </row>
    <row r="35" ht="11.25" customHeight="1">
      <c r="A35" s="5"/>
      <c r="B35" s="6" t="str">
        <f t="shared" ref="B35:B57" si="11">B2</f>
        <v>PRESSES</v>
      </c>
      <c r="C35" s="25">
        <v>0.033</v>
      </c>
      <c r="D35" s="7">
        <v>0.033</v>
      </c>
      <c r="E35" s="7">
        <v>0.033</v>
      </c>
      <c r="F35" s="7">
        <v>0.033</v>
      </c>
      <c r="G35" s="7">
        <v>0.033</v>
      </c>
      <c r="H35" s="7">
        <v>0.033</v>
      </c>
      <c r="I35" s="7">
        <v>0.033</v>
      </c>
      <c r="J35" s="7">
        <v>0.033</v>
      </c>
      <c r="K35" s="7">
        <v>0.033</v>
      </c>
      <c r="L35" s="7">
        <v>0.033</v>
      </c>
      <c r="M35" s="7">
        <v>0.033</v>
      </c>
      <c r="N35" s="26">
        <v>0.033</v>
      </c>
      <c r="O35" s="7">
        <f t="shared" ref="O35:Z35" si="10">N35</f>
        <v>0.033</v>
      </c>
      <c r="P35" s="7">
        <f t="shared" si="10"/>
        <v>0.033</v>
      </c>
      <c r="Q35" s="7">
        <f t="shared" si="10"/>
        <v>0.033</v>
      </c>
      <c r="R35" s="7">
        <f t="shared" si="10"/>
        <v>0.033</v>
      </c>
      <c r="S35" s="7">
        <f t="shared" si="10"/>
        <v>0.033</v>
      </c>
      <c r="T35" s="7">
        <f t="shared" si="10"/>
        <v>0.033</v>
      </c>
      <c r="U35" s="7">
        <f t="shared" si="10"/>
        <v>0.033</v>
      </c>
      <c r="V35" s="7">
        <f t="shared" si="10"/>
        <v>0.033</v>
      </c>
      <c r="W35" s="7">
        <f t="shared" si="10"/>
        <v>0.033</v>
      </c>
      <c r="X35" s="7">
        <f t="shared" si="10"/>
        <v>0.033</v>
      </c>
      <c r="Y35" s="7">
        <f t="shared" si="10"/>
        <v>0.033</v>
      </c>
      <c r="Z35" s="7">
        <f t="shared" si="10"/>
        <v>0.033</v>
      </c>
    </row>
    <row r="36" ht="11.25" customHeight="1">
      <c r="A36" s="5"/>
      <c r="B36" s="6" t="str">
        <f t="shared" si="11"/>
        <v>EQUIPEMENTS</v>
      </c>
      <c r="C36" s="27">
        <v>0.029</v>
      </c>
      <c r="D36" s="8">
        <v>0.029</v>
      </c>
      <c r="E36" s="8">
        <v>0.029</v>
      </c>
      <c r="F36" s="8">
        <v>0.029</v>
      </c>
      <c r="G36" s="8">
        <v>0.029</v>
      </c>
      <c r="H36" s="8">
        <v>0.029</v>
      </c>
      <c r="I36" s="8">
        <v>0.029</v>
      </c>
      <c r="J36" s="8">
        <v>0.029</v>
      </c>
      <c r="K36" s="8">
        <v>0.029</v>
      </c>
      <c r="L36" s="8">
        <v>0.029</v>
      </c>
      <c r="M36" s="8">
        <v>0.029</v>
      </c>
      <c r="N36" s="28">
        <v>0.029</v>
      </c>
      <c r="O36" s="8">
        <f t="shared" ref="O36:Z36" si="12">N36</f>
        <v>0.029</v>
      </c>
      <c r="P36" s="8">
        <f t="shared" si="12"/>
        <v>0.029</v>
      </c>
      <c r="Q36" s="8">
        <f t="shared" si="12"/>
        <v>0.029</v>
      </c>
      <c r="R36" s="8">
        <f t="shared" si="12"/>
        <v>0.029</v>
      </c>
      <c r="S36" s="8">
        <f t="shared" si="12"/>
        <v>0.029</v>
      </c>
      <c r="T36" s="8">
        <f t="shared" si="12"/>
        <v>0.029</v>
      </c>
      <c r="U36" s="8">
        <f t="shared" si="12"/>
        <v>0.029</v>
      </c>
      <c r="V36" s="8">
        <f t="shared" si="12"/>
        <v>0.029</v>
      </c>
      <c r="W36" s="8">
        <f t="shared" si="12"/>
        <v>0.029</v>
      </c>
      <c r="X36" s="8">
        <f t="shared" si="12"/>
        <v>0.029</v>
      </c>
      <c r="Y36" s="8">
        <f t="shared" si="12"/>
        <v>0.029</v>
      </c>
      <c r="Z36" s="8">
        <f t="shared" si="12"/>
        <v>0.029</v>
      </c>
    </row>
    <row r="37" ht="11.25" customHeight="1">
      <c r="A37" s="5"/>
      <c r="B37" s="6" t="str">
        <f t="shared" si="11"/>
        <v>CONVOYEURS</v>
      </c>
      <c r="C37" s="27">
        <v>0.001</v>
      </c>
      <c r="D37" s="8">
        <v>0.001</v>
      </c>
      <c r="E37" s="8">
        <v>0.001</v>
      </c>
      <c r="F37" s="8">
        <v>0.001</v>
      </c>
      <c r="G37" s="8">
        <v>0.001</v>
      </c>
      <c r="H37" s="8">
        <v>0.001</v>
      </c>
      <c r="I37" s="8">
        <v>0.001</v>
      </c>
      <c r="J37" s="8">
        <v>0.001</v>
      </c>
      <c r="K37" s="8">
        <v>0.001</v>
      </c>
      <c r="L37" s="8">
        <v>0.001</v>
      </c>
      <c r="M37" s="8">
        <v>0.001</v>
      </c>
      <c r="N37" s="28">
        <v>0.001</v>
      </c>
      <c r="O37" s="8">
        <f t="shared" ref="O37:Z37" si="13">N37</f>
        <v>0.001</v>
      </c>
      <c r="P37" s="8">
        <f t="shared" si="13"/>
        <v>0.001</v>
      </c>
      <c r="Q37" s="8">
        <f t="shared" si="13"/>
        <v>0.001</v>
      </c>
      <c r="R37" s="8">
        <f t="shared" si="13"/>
        <v>0.001</v>
      </c>
      <c r="S37" s="8">
        <f t="shared" si="13"/>
        <v>0.001</v>
      </c>
      <c r="T37" s="8">
        <f t="shared" si="13"/>
        <v>0.001</v>
      </c>
      <c r="U37" s="8">
        <f t="shared" si="13"/>
        <v>0.001</v>
      </c>
      <c r="V37" s="8">
        <f t="shared" si="13"/>
        <v>0.001</v>
      </c>
      <c r="W37" s="8">
        <f t="shared" si="13"/>
        <v>0.001</v>
      </c>
      <c r="X37" s="8">
        <f t="shared" si="13"/>
        <v>0.001</v>
      </c>
      <c r="Y37" s="8">
        <f t="shared" si="13"/>
        <v>0.001</v>
      </c>
      <c r="Z37" s="8">
        <f t="shared" si="13"/>
        <v>0.001</v>
      </c>
    </row>
    <row r="38" ht="11.25" customHeight="1">
      <c r="A38" s="5"/>
      <c r="B38" s="6" t="str">
        <f t="shared" si="11"/>
        <v>OUTILS</v>
      </c>
      <c r="C38" s="27">
        <v>0.013</v>
      </c>
      <c r="D38" s="8">
        <v>0.013</v>
      </c>
      <c r="E38" s="8">
        <v>0.013</v>
      </c>
      <c r="F38" s="8">
        <v>0.013</v>
      </c>
      <c r="G38" s="8">
        <v>0.013</v>
      </c>
      <c r="H38" s="8">
        <v>0.013</v>
      </c>
      <c r="I38" s="8">
        <v>0.013</v>
      </c>
      <c r="J38" s="8">
        <v>0.013</v>
      </c>
      <c r="K38" s="8">
        <v>0.013</v>
      </c>
      <c r="L38" s="8">
        <v>0.013</v>
      </c>
      <c r="M38" s="8">
        <v>0.013</v>
      </c>
      <c r="N38" s="28">
        <v>0.013</v>
      </c>
      <c r="O38" s="8">
        <f t="shared" ref="O38:Z38" si="14">N38</f>
        <v>0.013</v>
      </c>
      <c r="P38" s="8">
        <f t="shared" si="14"/>
        <v>0.013</v>
      </c>
      <c r="Q38" s="8">
        <f t="shared" si="14"/>
        <v>0.013</v>
      </c>
      <c r="R38" s="8">
        <f t="shared" si="14"/>
        <v>0.013</v>
      </c>
      <c r="S38" s="8">
        <f t="shared" si="14"/>
        <v>0.013</v>
      </c>
      <c r="T38" s="8">
        <f t="shared" si="14"/>
        <v>0.013</v>
      </c>
      <c r="U38" s="8">
        <f t="shared" si="14"/>
        <v>0.013</v>
      </c>
      <c r="V38" s="8">
        <f t="shared" si="14"/>
        <v>0.013</v>
      </c>
      <c r="W38" s="8">
        <f t="shared" si="14"/>
        <v>0.013</v>
      </c>
      <c r="X38" s="8">
        <f t="shared" si="14"/>
        <v>0.013</v>
      </c>
      <c r="Y38" s="8">
        <f t="shared" si="14"/>
        <v>0.013</v>
      </c>
      <c r="Z38" s="8">
        <f t="shared" si="14"/>
        <v>0.013</v>
      </c>
    </row>
    <row r="39" ht="11.25" customHeight="1">
      <c r="A39" s="5"/>
      <c r="B39" s="6" t="str">
        <f t="shared" si="11"/>
        <v>ESSUYAGE OUTIL</v>
      </c>
      <c r="C39" s="27">
        <v>0.004</v>
      </c>
      <c r="D39" s="8">
        <v>0.004</v>
      </c>
      <c r="E39" s="8">
        <v>0.004</v>
      </c>
      <c r="F39" s="8">
        <v>0.004</v>
      </c>
      <c r="G39" s="8">
        <v>0.004</v>
      </c>
      <c r="H39" s="8">
        <v>0.004</v>
      </c>
      <c r="I39" s="8">
        <v>0.004</v>
      </c>
      <c r="J39" s="8">
        <v>0.004</v>
      </c>
      <c r="K39" s="8">
        <v>0.004</v>
      </c>
      <c r="L39" s="8">
        <v>0.004</v>
      </c>
      <c r="M39" s="8">
        <v>0.004</v>
      </c>
      <c r="N39" s="28">
        <v>0.004</v>
      </c>
      <c r="O39" s="8">
        <f t="shared" ref="O39:Z39" si="15">N39</f>
        <v>0.004</v>
      </c>
      <c r="P39" s="8">
        <f t="shared" si="15"/>
        <v>0.004</v>
      </c>
      <c r="Q39" s="8">
        <f t="shared" si="15"/>
        <v>0.004</v>
      </c>
      <c r="R39" s="8">
        <f t="shared" si="15"/>
        <v>0.004</v>
      </c>
      <c r="S39" s="8">
        <f t="shared" si="15"/>
        <v>0.004</v>
      </c>
      <c r="T39" s="8">
        <f t="shared" si="15"/>
        <v>0.004</v>
      </c>
      <c r="U39" s="8">
        <f t="shared" si="15"/>
        <v>0.004</v>
      </c>
      <c r="V39" s="8">
        <f t="shared" si="15"/>
        <v>0.004</v>
      </c>
      <c r="W39" s="8">
        <f t="shared" si="15"/>
        <v>0.004</v>
      </c>
      <c r="X39" s="8">
        <f t="shared" si="15"/>
        <v>0.004</v>
      </c>
      <c r="Y39" s="8">
        <f t="shared" si="15"/>
        <v>0.004</v>
      </c>
      <c r="Z39" s="8">
        <f t="shared" si="15"/>
        <v>0.004</v>
      </c>
    </row>
    <row r="40" ht="11.25" customHeight="1">
      <c r="A40" s="5"/>
      <c r="B40" s="6" t="str">
        <f t="shared" si="11"/>
        <v>MECANISATIONS</v>
      </c>
      <c r="C40" s="27">
        <v>0.0208</v>
      </c>
      <c r="D40" s="8">
        <v>0.0208</v>
      </c>
      <c r="E40" s="8">
        <v>0.0208</v>
      </c>
      <c r="F40" s="8">
        <v>0.0208</v>
      </c>
      <c r="G40" s="8">
        <v>0.0208</v>
      </c>
      <c r="H40" s="8">
        <v>0.0208</v>
      </c>
      <c r="I40" s="8">
        <v>0.0208</v>
      </c>
      <c r="J40" s="8">
        <v>0.0208</v>
      </c>
      <c r="K40" s="8">
        <v>0.0208</v>
      </c>
      <c r="L40" s="8">
        <v>0.0208</v>
      </c>
      <c r="M40" s="8">
        <v>0.0208</v>
      </c>
      <c r="N40" s="28">
        <v>0.0208</v>
      </c>
      <c r="O40" s="8">
        <f t="shared" ref="O40:Z40" si="16">N40</f>
        <v>0.0208</v>
      </c>
      <c r="P40" s="8">
        <f t="shared" si="16"/>
        <v>0.0208</v>
      </c>
      <c r="Q40" s="8">
        <f t="shared" si="16"/>
        <v>0.0208</v>
      </c>
      <c r="R40" s="8">
        <f t="shared" si="16"/>
        <v>0.0208</v>
      </c>
      <c r="S40" s="8">
        <f t="shared" si="16"/>
        <v>0.0208</v>
      </c>
      <c r="T40" s="8">
        <f t="shared" si="16"/>
        <v>0.0208</v>
      </c>
      <c r="U40" s="8">
        <f t="shared" si="16"/>
        <v>0.0208</v>
      </c>
      <c r="V40" s="8">
        <f t="shared" si="16"/>
        <v>0.0208</v>
      </c>
      <c r="W40" s="8">
        <f t="shared" si="16"/>
        <v>0.0208</v>
      </c>
      <c r="X40" s="8">
        <f t="shared" si="16"/>
        <v>0.0208</v>
      </c>
      <c r="Y40" s="8">
        <f t="shared" si="16"/>
        <v>0.0208</v>
      </c>
      <c r="Z40" s="8">
        <f t="shared" si="16"/>
        <v>0.0208</v>
      </c>
    </row>
    <row r="41" ht="11.25" customHeight="1">
      <c r="A41" s="5"/>
      <c r="B41" s="6" t="str">
        <f t="shared" si="11"/>
        <v>MATIERE</v>
      </c>
      <c r="C41" s="27">
        <v>0.004</v>
      </c>
      <c r="D41" s="8">
        <v>0.004</v>
      </c>
      <c r="E41" s="8">
        <v>0.004</v>
      </c>
      <c r="F41" s="8">
        <v>0.004</v>
      </c>
      <c r="G41" s="8">
        <v>0.004</v>
      </c>
      <c r="H41" s="8">
        <v>0.004</v>
      </c>
      <c r="I41" s="8">
        <v>0.004</v>
      </c>
      <c r="J41" s="8">
        <v>0.004</v>
      </c>
      <c r="K41" s="8">
        <v>0.004</v>
      </c>
      <c r="L41" s="8">
        <v>0.004</v>
      </c>
      <c r="M41" s="8">
        <v>0.004</v>
      </c>
      <c r="N41" s="28">
        <v>0.004</v>
      </c>
      <c r="O41" s="8">
        <f t="shared" ref="O41:Z41" si="17">N41</f>
        <v>0.004</v>
      </c>
      <c r="P41" s="8">
        <f t="shared" si="17"/>
        <v>0.004</v>
      </c>
      <c r="Q41" s="8">
        <f t="shared" si="17"/>
        <v>0.004</v>
      </c>
      <c r="R41" s="8">
        <f t="shared" si="17"/>
        <v>0.004</v>
      </c>
      <c r="S41" s="8">
        <f t="shared" si="17"/>
        <v>0.004</v>
      </c>
      <c r="T41" s="8">
        <f t="shared" si="17"/>
        <v>0.004</v>
      </c>
      <c r="U41" s="8">
        <f t="shared" si="17"/>
        <v>0.004</v>
      </c>
      <c r="V41" s="8">
        <f t="shared" si="17"/>
        <v>0.004</v>
      </c>
      <c r="W41" s="8">
        <f t="shared" si="17"/>
        <v>0.004</v>
      </c>
      <c r="X41" s="8">
        <f t="shared" si="17"/>
        <v>0.004</v>
      </c>
      <c r="Y41" s="8">
        <f t="shared" si="17"/>
        <v>0.004</v>
      </c>
      <c r="Z41" s="8">
        <f t="shared" si="17"/>
        <v>0.004</v>
      </c>
    </row>
    <row r="42" ht="11.25" customHeight="1">
      <c r="A42" s="5"/>
      <c r="B42" s="6" t="str">
        <f t="shared" si="11"/>
        <v>ATTENTE AMONT</v>
      </c>
      <c r="C42" s="27">
        <v>0.003</v>
      </c>
      <c r="D42" s="8">
        <v>0.003</v>
      </c>
      <c r="E42" s="8">
        <v>0.003</v>
      </c>
      <c r="F42" s="8">
        <v>0.003</v>
      </c>
      <c r="G42" s="8">
        <v>0.003</v>
      </c>
      <c r="H42" s="8">
        <v>0.003</v>
      </c>
      <c r="I42" s="8">
        <v>0.003</v>
      </c>
      <c r="J42" s="8">
        <v>0.003</v>
      </c>
      <c r="K42" s="8">
        <v>0.003</v>
      </c>
      <c r="L42" s="8">
        <v>0.003</v>
      </c>
      <c r="M42" s="8">
        <v>0.003</v>
      </c>
      <c r="N42" s="28">
        <v>0.003</v>
      </c>
      <c r="O42" s="8">
        <f t="shared" ref="O42:Z42" si="18">N42</f>
        <v>0.003</v>
      </c>
      <c r="P42" s="8">
        <f t="shared" si="18"/>
        <v>0.003</v>
      </c>
      <c r="Q42" s="8">
        <f t="shared" si="18"/>
        <v>0.003</v>
      </c>
      <c r="R42" s="8">
        <f t="shared" si="18"/>
        <v>0.003</v>
      </c>
      <c r="S42" s="8">
        <f t="shared" si="18"/>
        <v>0.003</v>
      </c>
      <c r="T42" s="8">
        <f t="shared" si="18"/>
        <v>0.003</v>
      </c>
      <c r="U42" s="8">
        <f t="shared" si="18"/>
        <v>0.003</v>
      </c>
      <c r="V42" s="8">
        <f t="shared" si="18"/>
        <v>0.003</v>
      </c>
      <c r="W42" s="8">
        <f t="shared" si="18"/>
        <v>0.003</v>
      </c>
      <c r="X42" s="8">
        <f t="shared" si="18"/>
        <v>0.003</v>
      </c>
      <c r="Y42" s="8">
        <f t="shared" si="18"/>
        <v>0.003</v>
      </c>
      <c r="Z42" s="8">
        <f t="shared" si="18"/>
        <v>0.003</v>
      </c>
    </row>
    <row r="43" ht="11.25" customHeight="1">
      <c r="A43" s="5"/>
      <c r="B43" s="6" t="str">
        <f t="shared" si="11"/>
        <v>SATURATION</v>
      </c>
      <c r="C43" s="27">
        <v>0.001</v>
      </c>
      <c r="D43" s="8">
        <v>0.001</v>
      </c>
      <c r="E43" s="8">
        <v>0.001</v>
      </c>
      <c r="F43" s="8">
        <v>0.001</v>
      </c>
      <c r="G43" s="8">
        <v>0.001</v>
      </c>
      <c r="H43" s="8">
        <v>0.001</v>
      </c>
      <c r="I43" s="8">
        <v>0.001</v>
      </c>
      <c r="J43" s="8">
        <v>0.001</v>
      </c>
      <c r="K43" s="8">
        <v>0.001</v>
      </c>
      <c r="L43" s="8">
        <v>0.001</v>
      </c>
      <c r="M43" s="8">
        <v>0.001</v>
      </c>
      <c r="N43" s="28">
        <v>0.001</v>
      </c>
      <c r="O43" s="8">
        <f t="shared" ref="O43:Z43" si="19">N43</f>
        <v>0.001</v>
      </c>
      <c r="P43" s="8">
        <f t="shared" si="19"/>
        <v>0.001</v>
      </c>
      <c r="Q43" s="8">
        <f t="shared" si="19"/>
        <v>0.001</v>
      </c>
      <c r="R43" s="8">
        <f t="shared" si="19"/>
        <v>0.001</v>
      </c>
      <c r="S43" s="8">
        <f t="shared" si="19"/>
        <v>0.001</v>
      </c>
      <c r="T43" s="8">
        <f t="shared" si="19"/>
        <v>0.001</v>
      </c>
      <c r="U43" s="8">
        <f t="shared" si="19"/>
        <v>0.001</v>
      </c>
      <c r="V43" s="8">
        <f t="shared" si="19"/>
        <v>0.001</v>
      </c>
      <c r="W43" s="8">
        <f t="shared" si="19"/>
        <v>0.001</v>
      </c>
      <c r="X43" s="8">
        <f t="shared" si="19"/>
        <v>0.001</v>
      </c>
      <c r="Y43" s="8">
        <f t="shared" si="19"/>
        <v>0.001</v>
      </c>
      <c r="Z43" s="8">
        <f t="shared" si="19"/>
        <v>0.001</v>
      </c>
    </row>
    <row r="44" ht="11.25" customHeight="1">
      <c r="A44" s="5"/>
      <c r="B44" s="6" t="str">
        <f t="shared" si="11"/>
        <v>PREPARATION CONVOI</v>
      </c>
      <c r="C44" s="27">
        <v>0.001</v>
      </c>
      <c r="D44" s="8">
        <v>0.001</v>
      </c>
      <c r="E44" s="8">
        <v>0.001</v>
      </c>
      <c r="F44" s="8">
        <v>0.001</v>
      </c>
      <c r="G44" s="8">
        <v>0.001</v>
      </c>
      <c r="H44" s="8">
        <v>0.001</v>
      </c>
      <c r="I44" s="8">
        <v>0.001</v>
      </c>
      <c r="J44" s="8">
        <v>0.001</v>
      </c>
      <c r="K44" s="8">
        <v>0.001</v>
      </c>
      <c r="L44" s="8">
        <v>0.001</v>
      </c>
      <c r="M44" s="8">
        <v>0.001</v>
      </c>
      <c r="N44" s="28">
        <v>0.001</v>
      </c>
      <c r="O44" s="8">
        <f t="shared" ref="O44:Z44" si="20">N44</f>
        <v>0.001</v>
      </c>
      <c r="P44" s="8">
        <f t="shared" si="20"/>
        <v>0.001</v>
      </c>
      <c r="Q44" s="8">
        <f t="shared" si="20"/>
        <v>0.001</v>
      </c>
      <c r="R44" s="8">
        <f t="shared" si="20"/>
        <v>0.001</v>
      </c>
      <c r="S44" s="8">
        <f t="shared" si="20"/>
        <v>0.001</v>
      </c>
      <c r="T44" s="8">
        <f t="shared" si="20"/>
        <v>0.001</v>
      </c>
      <c r="U44" s="8">
        <f t="shared" si="20"/>
        <v>0.001</v>
      </c>
      <c r="V44" s="8">
        <f t="shared" si="20"/>
        <v>0.001</v>
      </c>
      <c r="W44" s="8">
        <f t="shared" si="20"/>
        <v>0.001</v>
      </c>
      <c r="X44" s="8">
        <f t="shared" si="20"/>
        <v>0.001</v>
      </c>
      <c r="Y44" s="8">
        <f t="shared" si="20"/>
        <v>0.001</v>
      </c>
      <c r="Z44" s="8">
        <f t="shared" si="20"/>
        <v>0.001</v>
      </c>
    </row>
    <row r="45" ht="11.25" customHeight="1">
      <c r="A45" s="5"/>
      <c r="B45" s="6" t="str">
        <f t="shared" si="11"/>
        <v>OPERATEURS</v>
      </c>
      <c r="C45" s="27">
        <v>0.001</v>
      </c>
      <c r="D45" s="8">
        <v>0.001</v>
      </c>
      <c r="E45" s="8">
        <v>0.001</v>
      </c>
      <c r="F45" s="8">
        <v>0.001</v>
      </c>
      <c r="G45" s="8">
        <v>0.001</v>
      </c>
      <c r="H45" s="8">
        <v>0.001</v>
      </c>
      <c r="I45" s="8">
        <v>0.001</v>
      </c>
      <c r="J45" s="8">
        <v>0.001</v>
      </c>
      <c r="K45" s="8">
        <v>0.001</v>
      </c>
      <c r="L45" s="8">
        <v>0.001</v>
      </c>
      <c r="M45" s="8">
        <v>0.001</v>
      </c>
      <c r="N45" s="28">
        <v>0.001</v>
      </c>
      <c r="O45" s="8">
        <f t="shared" ref="O45:Z45" si="21">N45</f>
        <v>0.001</v>
      </c>
      <c r="P45" s="8">
        <f t="shared" si="21"/>
        <v>0.001</v>
      </c>
      <c r="Q45" s="8">
        <f t="shared" si="21"/>
        <v>0.001</v>
      </c>
      <c r="R45" s="8">
        <f t="shared" si="21"/>
        <v>0.001</v>
      </c>
      <c r="S45" s="8">
        <f t="shared" si="21"/>
        <v>0.001</v>
      </c>
      <c r="T45" s="8">
        <f t="shared" si="21"/>
        <v>0.001</v>
      </c>
      <c r="U45" s="8">
        <f t="shared" si="21"/>
        <v>0.001</v>
      </c>
      <c r="V45" s="8">
        <f t="shared" si="21"/>
        <v>0.001</v>
      </c>
      <c r="W45" s="8">
        <f t="shared" si="21"/>
        <v>0.001</v>
      </c>
      <c r="X45" s="8">
        <f t="shared" si="21"/>
        <v>0.001</v>
      </c>
      <c r="Y45" s="8">
        <f t="shared" si="21"/>
        <v>0.001</v>
      </c>
      <c r="Z45" s="8">
        <f t="shared" si="21"/>
        <v>0.001</v>
      </c>
    </row>
    <row r="46" ht="11.25" customHeight="1">
      <c r="A46" s="5"/>
      <c r="B46" s="6" t="str">
        <f t="shared" si="11"/>
        <v>NON RENSEIGNEE</v>
      </c>
      <c r="C46" s="27">
        <v>0.005</v>
      </c>
      <c r="D46" s="8">
        <v>0.005</v>
      </c>
      <c r="E46" s="8">
        <v>0.005</v>
      </c>
      <c r="F46" s="8">
        <v>0.005</v>
      </c>
      <c r="G46" s="8">
        <v>0.005</v>
      </c>
      <c r="H46" s="8">
        <v>0.005</v>
      </c>
      <c r="I46" s="8">
        <v>0.005</v>
      </c>
      <c r="J46" s="8">
        <v>0.005</v>
      </c>
      <c r="K46" s="8">
        <v>0.005</v>
      </c>
      <c r="L46" s="8">
        <v>0.005</v>
      </c>
      <c r="M46" s="8">
        <v>0.005</v>
      </c>
      <c r="N46" s="28">
        <v>0.005</v>
      </c>
      <c r="O46" s="8">
        <f t="shared" ref="O46:Z46" si="22">N46</f>
        <v>0.005</v>
      </c>
      <c r="P46" s="8">
        <f t="shared" si="22"/>
        <v>0.005</v>
      </c>
      <c r="Q46" s="8">
        <f t="shared" si="22"/>
        <v>0.005</v>
      </c>
      <c r="R46" s="8">
        <f t="shared" si="22"/>
        <v>0.005</v>
      </c>
      <c r="S46" s="8">
        <f t="shared" si="22"/>
        <v>0.005</v>
      </c>
      <c r="T46" s="8">
        <f t="shared" si="22"/>
        <v>0.005</v>
      </c>
      <c r="U46" s="8">
        <f t="shared" si="22"/>
        <v>0.005</v>
      </c>
      <c r="V46" s="8">
        <f t="shared" si="22"/>
        <v>0.005</v>
      </c>
      <c r="W46" s="8">
        <f t="shared" si="22"/>
        <v>0.005</v>
      </c>
      <c r="X46" s="8">
        <f t="shared" si="22"/>
        <v>0.005</v>
      </c>
      <c r="Y46" s="8">
        <f t="shared" si="22"/>
        <v>0.005</v>
      </c>
      <c r="Z46" s="8">
        <f t="shared" si="22"/>
        <v>0.005</v>
      </c>
    </row>
    <row r="47" ht="11.25" customHeight="1">
      <c r="A47" s="5"/>
      <c r="B47" s="6" t="str">
        <f t="shared" si="11"/>
        <v>MONTAGE CONVOI</v>
      </c>
      <c r="C47" s="27">
        <v>0.0609</v>
      </c>
      <c r="D47" s="8">
        <v>0.0609</v>
      </c>
      <c r="E47" s="8">
        <v>0.0609</v>
      </c>
      <c r="F47" s="8">
        <v>0.0609</v>
      </c>
      <c r="G47" s="8">
        <v>0.0609</v>
      </c>
      <c r="H47" s="8">
        <v>0.0609</v>
      </c>
      <c r="I47" s="8">
        <v>0.0609</v>
      </c>
      <c r="J47" s="8">
        <v>0.0609</v>
      </c>
      <c r="K47" s="8">
        <v>0.0609</v>
      </c>
      <c r="L47" s="8">
        <v>0.0609</v>
      </c>
      <c r="M47" s="8">
        <v>0.0609</v>
      </c>
      <c r="N47" s="28">
        <v>0.0609</v>
      </c>
      <c r="O47" s="8">
        <f t="shared" ref="O47:Z47" si="23">N47</f>
        <v>0.0609</v>
      </c>
      <c r="P47" s="8">
        <f t="shared" si="23"/>
        <v>0.0609</v>
      </c>
      <c r="Q47" s="8">
        <f t="shared" si="23"/>
        <v>0.0609</v>
      </c>
      <c r="R47" s="8">
        <f t="shared" si="23"/>
        <v>0.0609</v>
      </c>
      <c r="S47" s="8">
        <f t="shared" si="23"/>
        <v>0.0609</v>
      </c>
      <c r="T47" s="8">
        <f t="shared" si="23"/>
        <v>0.0609</v>
      </c>
      <c r="U47" s="8">
        <f t="shared" si="23"/>
        <v>0.0609</v>
      </c>
      <c r="V47" s="8">
        <f t="shared" si="23"/>
        <v>0.0609</v>
      </c>
      <c r="W47" s="8">
        <f t="shared" si="23"/>
        <v>0.0609</v>
      </c>
      <c r="X47" s="8">
        <f t="shared" si="23"/>
        <v>0.0609</v>
      </c>
      <c r="Y47" s="8">
        <f t="shared" si="23"/>
        <v>0.0609</v>
      </c>
      <c r="Z47" s="8">
        <f t="shared" si="23"/>
        <v>0.0609</v>
      </c>
    </row>
    <row r="48" ht="11.25" customHeight="1">
      <c r="A48" s="5"/>
      <c r="B48" s="6" t="str">
        <f t="shared" si="11"/>
        <v>REMPLISSAGE</v>
      </c>
      <c r="C48" s="27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28">
        <v>0.0</v>
      </c>
      <c r="O48" s="8">
        <f t="shared" ref="O48:Z48" si="24">N48</f>
        <v>0</v>
      </c>
      <c r="P48" s="8">
        <f t="shared" si="24"/>
        <v>0</v>
      </c>
      <c r="Q48" s="8">
        <f t="shared" si="24"/>
        <v>0</v>
      </c>
      <c r="R48" s="8">
        <f t="shared" si="24"/>
        <v>0</v>
      </c>
      <c r="S48" s="8">
        <f t="shared" si="24"/>
        <v>0</v>
      </c>
      <c r="T48" s="8">
        <f t="shared" si="24"/>
        <v>0</v>
      </c>
      <c r="U48" s="8">
        <f t="shared" si="24"/>
        <v>0</v>
      </c>
      <c r="V48" s="8">
        <f t="shared" si="24"/>
        <v>0</v>
      </c>
      <c r="W48" s="8">
        <f t="shared" si="24"/>
        <v>0</v>
      </c>
      <c r="X48" s="8">
        <f t="shared" si="24"/>
        <v>0</v>
      </c>
      <c r="Y48" s="8">
        <f t="shared" si="24"/>
        <v>0</v>
      </c>
      <c r="Z48" s="8">
        <f t="shared" si="24"/>
        <v>0</v>
      </c>
    </row>
    <row r="49" ht="11.25" customHeight="1">
      <c r="A49" s="5"/>
      <c r="B49" s="6" t="str">
        <f t="shared" si="11"/>
        <v>PRE-ACCEPTATION</v>
      </c>
      <c r="C49" s="27">
        <v>0.0</v>
      </c>
      <c r="D49" s="8">
        <v>0.0</v>
      </c>
      <c r="E49" s="8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8">
        <v>0.0</v>
      </c>
      <c r="N49" s="28">
        <v>0.0</v>
      </c>
      <c r="O49" s="8">
        <f t="shared" ref="O49:Z49" si="25">N49</f>
        <v>0</v>
      </c>
      <c r="P49" s="8">
        <f t="shared" si="25"/>
        <v>0</v>
      </c>
      <c r="Q49" s="8">
        <f t="shared" si="25"/>
        <v>0</v>
      </c>
      <c r="R49" s="8">
        <f t="shared" si="25"/>
        <v>0</v>
      </c>
      <c r="S49" s="8">
        <f t="shared" si="25"/>
        <v>0</v>
      </c>
      <c r="T49" s="8">
        <f t="shared" si="25"/>
        <v>0</v>
      </c>
      <c r="U49" s="8">
        <f t="shared" si="25"/>
        <v>0</v>
      </c>
      <c r="V49" s="8">
        <f t="shared" si="25"/>
        <v>0</v>
      </c>
      <c r="W49" s="8">
        <f t="shared" si="25"/>
        <v>0</v>
      </c>
      <c r="X49" s="8">
        <f t="shared" si="25"/>
        <v>0</v>
      </c>
      <c r="Y49" s="8">
        <f t="shared" si="25"/>
        <v>0</v>
      </c>
      <c r="Z49" s="8">
        <f t="shared" si="25"/>
        <v>0</v>
      </c>
    </row>
    <row r="50" ht="11.25" customHeight="1">
      <c r="A50" s="5"/>
      <c r="B50" s="6" t="str">
        <f t="shared" si="11"/>
        <v>CHANGEMENT D'INDEX</v>
      </c>
      <c r="C50" s="27">
        <v>0.0</v>
      </c>
      <c r="D50" s="8">
        <v>0.0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8">
        <v>0.0</v>
      </c>
      <c r="N50" s="28">
        <v>0.0</v>
      </c>
      <c r="O50" s="8">
        <f t="shared" ref="O50:Z50" si="26">N50</f>
        <v>0</v>
      </c>
      <c r="P50" s="8">
        <f t="shared" si="26"/>
        <v>0</v>
      </c>
      <c r="Q50" s="8">
        <f t="shared" si="26"/>
        <v>0</v>
      </c>
      <c r="R50" s="8">
        <f t="shared" si="26"/>
        <v>0</v>
      </c>
      <c r="S50" s="8">
        <f t="shared" si="26"/>
        <v>0</v>
      </c>
      <c r="T50" s="8">
        <f t="shared" si="26"/>
        <v>0</v>
      </c>
      <c r="U50" s="8">
        <f t="shared" si="26"/>
        <v>0</v>
      </c>
      <c r="V50" s="8">
        <f t="shared" si="26"/>
        <v>0</v>
      </c>
      <c r="W50" s="8">
        <f t="shared" si="26"/>
        <v>0</v>
      </c>
      <c r="X50" s="8">
        <f t="shared" si="26"/>
        <v>0</v>
      </c>
      <c r="Y50" s="8">
        <f t="shared" si="26"/>
        <v>0</v>
      </c>
      <c r="Z50" s="8">
        <f t="shared" si="26"/>
        <v>0</v>
      </c>
    </row>
    <row r="51" ht="11.25" customHeight="1">
      <c r="A51" s="5"/>
      <c r="B51" s="6" t="str">
        <f t="shared" si="11"/>
        <v>MISE EN OPERATION</v>
      </c>
      <c r="C51" s="27">
        <v>0.0</v>
      </c>
      <c r="D51" s="8">
        <v>0.0</v>
      </c>
      <c r="E51" s="8">
        <v>0.0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8">
        <v>0.0</v>
      </c>
      <c r="N51" s="28">
        <v>0.0</v>
      </c>
      <c r="O51" s="8">
        <f t="shared" ref="O51:Z51" si="27">N51</f>
        <v>0</v>
      </c>
      <c r="P51" s="8">
        <f t="shared" si="27"/>
        <v>0</v>
      </c>
      <c r="Q51" s="8">
        <f t="shared" si="27"/>
        <v>0</v>
      </c>
      <c r="R51" s="8">
        <f t="shared" si="27"/>
        <v>0</v>
      </c>
      <c r="S51" s="8">
        <f t="shared" si="27"/>
        <v>0</v>
      </c>
      <c r="T51" s="8">
        <f t="shared" si="27"/>
        <v>0</v>
      </c>
      <c r="U51" s="8">
        <f t="shared" si="27"/>
        <v>0</v>
      </c>
      <c r="V51" s="8">
        <f t="shared" si="27"/>
        <v>0</v>
      </c>
      <c r="W51" s="8">
        <f t="shared" si="27"/>
        <v>0</v>
      </c>
      <c r="X51" s="8">
        <f t="shared" si="27"/>
        <v>0</v>
      </c>
      <c r="Y51" s="8">
        <f t="shared" si="27"/>
        <v>0</v>
      </c>
      <c r="Z51" s="8">
        <f t="shared" si="27"/>
        <v>0</v>
      </c>
    </row>
    <row r="52" ht="11.25" customHeight="1">
      <c r="A52" s="5"/>
      <c r="B52" s="6" t="str">
        <f t="shared" si="11"/>
        <v>CHANGEMENT DE BOBINE</v>
      </c>
      <c r="C52" s="27">
        <v>0.0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28">
        <v>0.0</v>
      </c>
      <c r="O52" s="8">
        <f t="shared" ref="O52:Z52" si="28">N52</f>
        <v>0</v>
      </c>
      <c r="P52" s="8">
        <f t="shared" si="28"/>
        <v>0</v>
      </c>
      <c r="Q52" s="8">
        <f t="shared" si="28"/>
        <v>0</v>
      </c>
      <c r="R52" s="8">
        <f t="shared" si="28"/>
        <v>0</v>
      </c>
      <c r="S52" s="8">
        <f t="shared" si="28"/>
        <v>0</v>
      </c>
      <c r="T52" s="8">
        <f t="shared" si="28"/>
        <v>0</v>
      </c>
      <c r="U52" s="8">
        <f t="shared" si="28"/>
        <v>0</v>
      </c>
      <c r="V52" s="8">
        <f t="shared" si="28"/>
        <v>0</v>
      </c>
      <c r="W52" s="8">
        <f t="shared" si="28"/>
        <v>0</v>
      </c>
      <c r="X52" s="8">
        <f t="shared" si="28"/>
        <v>0</v>
      </c>
      <c r="Y52" s="8">
        <f t="shared" si="28"/>
        <v>0</v>
      </c>
      <c r="Z52" s="8">
        <f t="shared" si="28"/>
        <v>0</v>
      </c>
    </row>
    <row r="53" ht="11.25" customHeight="1">
      <c r="A53" s="5"/>
      <c r="B53" s="6" t="str">
        <f t="shared" si="11"/>
        <v>CHANGEMENT DE BAC</v>
      </c>
      <c r="C53" s="27">
        <v>0.0</v>
      </c>
      <c r="D53" s="8">
        <v>0.0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28">
        <v>0.0</v>
      </c>
      <c r="O53" s="8">
        <f t="shared" ref="O53:Z53" si="29">N53</f>
        <v>0</v>
      </c>
      <c r="P53" s="8">
        <f t="shared" si="29"/>
        <v>0</v>
      </c>
      <c r="Q53" s="8">
        <f t="shared" si="29"/>
        <v>0</v>
      </c>
      <c r="R53" s="8">
        <f t="shared" si="29"/>
        <v>0</v>
      </c>
      <c r="S53" s="8">
        <f t="shared" si="29"/>
        <v>0</v>
      </c>
      <c r="T53" s="8">
        <f t="shared" si="29"/>
        <v>0</v>
      </c>
      <c r="U53" s="8">
        <f t="shared" si="29"/>
        <v>0</v>
      </c>
      <c r="V53" s="8">
        <f t="shared" si="29"/>
        <v>0</v>
      </c>
      <c r="W53" s="8">
        <f t="shared" si="29"/>
        <v>0</v>
      </c>
      <c r="X53" s="8">
        <f t="shared" si="29"/>
        <v>0</v>
      </c>
      <c r="Y53" s="8">
        <f t="shared" si="29"/>
        <v>0</v>
      </c>
      <c r="Z53" s="8">
        <f t="shared" si="29"/>
        <v>0</v>
      </c>
    </row>
    <row r="54" ht="11.25" customHeight="1">
      <c r="A54" s="5"/>
      <c r="B54" s="6" t="str">
        <f t="shared" si="11"/>
        <v>CHANGEMENT DE PALETTE</v>
      </c>
      <c r="C54" s="27">
        <v>0.0</v>
      </c>
      <c r="D54" s="8">
        <v>0.0</v>
      </c>
      <c r="E54" s="8">
        <v>0.0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  <c r="L54" s="8">
        <v>0.0</v>
      </c>
      <c r="M54" s="8">
        <v>0.0</v>
      </c>
      <c r="N54" s="28">
        <v>0.0</v>
      </c>
      <c r="O54" s="8">
        <f t="shared" ref="O54:Z54" si="30">N54</f>
        <v>0</v>
      </c>
      <c r="P54" s="8">
        <f t="shared" si="30"/>
        <v>0</v>
      </c>
      <c r="Q54" s="8">
        <f t="shared" si="30"/>
        <v>0</v>
      </c>
      <c r="R54" s="8">
        <f t="shared" si="30"/>
        <v>0</v>
      </c>
      <c r="S54" s="8">
        <f t="shared" si="30"/>
        <v>0</v>
      </c>
      <c r="T54" s="8">
        <f t="shared" si="30"/>
        <v>0</v>
      </c>
      <c r="U54" s="8">
        <f t="shared" si="30"/>
        <v>0</v>
      </c>
      <c r="V54" s="8">
        <f t="shared" si="30"/>
        <v>0</v>
      </c>
      <c r="W54" s="8">
        <f t="shared" si="30"/>
        <v>0</v>
      </c>
      <c r="X54" s="8">
        <f t="shared" si="30"/>
        <v>0</v>
      </c>
      <c r="Y54" s="8">
        <f t="shared" si="30"/>
        <v>0</v>
      </c>
      <c r="Z54" s="8">
        <f t="shared" si="30"/>
        <v>0</v>
      </c>
    </row>
    <row r="55" ht="11.25" customHeight="1">
      <c r="A55" s="5"/>
      <c r="B55" s="6" t="str">
        <f t="shared" si="11"/>
        <v>REBUTS</v>
      </c>
      <c r="C55" s="27">
        <v>0.0</v>
      </c>
      <c r="D55" s="9">
        <v>0.0</v>
      </c>
      <c r="E55" s="9">
        <v>0.0</v>
      </c>
      <c r="F55" s="9">
        <v>0.0</v>
      </c>
      <c r="G55" s="9">
        <v>0.0</v>
      </c>
      <c r="H55" s="9">
        <v>0.0</v>
      </c>
      <c r="I55" s="9">
        <v>0.0</v>
      </c>
      <c r="J55" s="9">
        <v>0.0</v>
      </c>
      <c r="K55" s="9">
        <v>0.0</v>
      </c>
      <c r="L55" s="9">
        <v>0.0</v>
      </c>
      <c r="M55" s="9">
        <v>0.0</v>
      </c>
      <c r="N55" s="28">
        <v>0.0</v>
      </c>
      <c r="O55" s="9">
        <f t="shared" ref="O55:Z55" si="31">N55</f>
        <v>0</v>
      </c>
      <c r="P55" s="9">
        <f t="shared" si="31"/>
        <v>0</v>
      </c>
      <c r="Q55" s="9">
        <f t="shared" si="31"/>
        <v>0</v>
      </c>
      <c r="R55" s="9">
        <f t="shared" si="31"/>
        <v>0</v>
      </c>
      <c r="S55" s="9">
        <f t="shared" si="31"/>
        <v>0</v>
      </c>
      <c r="T55" s="9">
        <f t="shared" si="31"/>
        <v>0</v>
      </c>
      <c r="U55" s="9">
        <f t="shared" si="31"/>
        <v>0</v>
      </c>
      <c r="V55" s="9">
        <f t="shared" si="31"/>
        <v>0</v>
      </c>
      <c r="W55" s="9">
        <f t="shared" si="31"/>
        <v>0</v>
      </c>
      <c r="X55" s="9">
        <f t="shared" si="31"/>
        <v>0</v>
      </c>
      <c r="Y55" s="9">
        <f t="shared" si="31"/>
        <v>0</v>
      </c>
      <c r="Z55" s="9">
        <f t="shared" si="31"/>
        <v>0</v>
      </c>
    </row>
    <row r="56" ht="11.25" customHeight="1">
      <c r="A56" s="5"/>
      <c r="B56" s="6" t="str">
        <f t="shared" si="11"/>
        <v>RETOUCHES</v>
      </c>
      <c r="C56" s="27">
        <v>0.005</v>
      </c>
      <c r="D56" s="9">
        <v>0.005</v>
      </c>
      <c r="E56" s="9">
        <v>0.005</v>
      </c>
      <c r="F56" s="9">
        <v>0.005</v>
      </c>
      <c r="G56" s="9">
        <v>0.005</v>
      </c>
      <c r="H56" s="9">
        <v>0.005</v>
      </c>
      <c r="I56" s="9">
        <v>0.005</v>
      </c>
      <c r="J56" s="9">
        <v>0.005</v>
      </c>
      <c r="K56" s="9">
        <v>0.005</v>
      </c>
      <c r="L56" s="9">
        <v>0.005</v>
      </c>
      <c r="M56" s="9">
        <v>0.005</v>
      </c>
      <c r="N56" s="28">
        <v>0.005</v>
      </c>
      <c r="O56" s="9">
        <f t="shared" ref="O56:Z56" si="32">N56</f>
        <v>0.005</v>
      </c>
      <c r="P56" s="9">
        <f t="shared" si="32"/>
        <v>0.005</v>
      </c>
      <c r="Q56" s="9">
        <f t="shared" si="32"/>
        <v>0.005</v>
      </c>
      <c r="R56" s="9">
        <f t="shared" si="32"/>
        <v>0.005</v>
      </c>
      <c r="S56" s="9">
        <f t="shared" si="32"/>
        <v>0.005</v>
      </c>
      <c r="T56" s="9">
        <f t="shared" si="32"/>
        <v>0.005</v>
      </c>
      <c r="U56" s="9">
        <f t="shared" si="32"/>
        <v>0.005</v>
      </c>
      <c r="V56" s="9">
        <f t="shared" si="32"/>
        <v>0.005</v>
      </c>
      <c r="W56" s="9">
        <f t="shared" si="32"/>
        <v>0.005</v>
      </c>
      <c r="X56" s="9">
        <f t="shared" si="32"/>
        <v>0.005</v>
      </c>
      <c r="Y56" s="9">
        <f t="shared" si="32"/>
        <v>0.005</v>
      </c>
      <c r="Z56" s="9">
        <f t="shared" si="32"/>
        <v>0.005</v>
      </c>
    </row>
    <row r="57" ht="12.0" customHeight="1">
      <c r="A57" s="5"/>
      <c r="B57" s="6" t="str">
        <f t="shared" si="11"/>
        <v>PERTES CYCLE</v>
      </c>
      <c r="C57" s="29">
        <v>0.03</v>
      </c>
      <c r="D57" s="10">
        <v>0.03</v>
      </c>
      <c r="E57" s="10">
        <v>0.03</v>
      </c>
      <c r="F57" s="10">
        <v>0.03</v>
      </c>
      <c r="G57" s="10">
        <v>0.03</v>
      </c>
      <c r="H57" s="10">
        <v>0.03</v>
      </c>
      <c r="I57" s="10">
        <v>0.03</v>
      </c>
      <c r="J57" s="10">
        <v>0.03</v>
      </c>
      <c r="K57" s="10">
        <v>0.03</v>
      </c>
      <c r="L57" s="10">
        <v>0.03</v>
      </c>
      <c r="M57" s="10">
        <v>0.03</v>
      </c>
      <c r="N57" s="30">
        <v>0.03</v>
      </c>
      <c r="O57" s="10">
        <f t="shared" ref="O57:Z57" si="33">N57</f>
        <v>0.03</v>
      </c>
      <c r="P57" s="10">
        <f t="shared" si="33"/>
        <v>0.03</v>
      </c>
      <c r="Q57" s="10">
        <f t="shared" si="33"/>
        <v>0.03</v>
      </c>
      <c r="R57" s="10">
        <f t="shared" si="33"/>
        <v>0.03</v>
      </c>
      <c r="S57" s="10">
        <f t="shared" si="33"/>
        <v>0.03</v>
      </c>
      <c r="T57" s="10">
        <f t="shared" si="33"/>
        <v>0.03</v>
      </c>
      <c r="U57" s="10">
        <f t="shared" si="33"/>
        <v>0.03</v>
      </c>
      <c r="V57" s="10">
        <f t="shared" si="33"/>
        <v>0.03</v>
      </c>
      <c r="W57" s="10">
        <f t="shared" si="33"/>
        <v>0.03</v>
      </c>
      <c r="X57" s="10">
        <f t="shared" si="33"/>
        <v>0.03</v>
      </c>
      <c r="Y57" s="10">
        <f t="shared" si="33"/>
        <v>0.03</v>
      </c>
      <c r="Z57" s="10">
        <f t="shared" si="33"/>
        <v>0.03</v>
      </c>
    </row>
    <row r="58" ht="13.5" customHeight="1">
      <c r="A58" s="5"/>
      <c r="B58" s="2" t="s">
        <v>1</v>
      </c>
      <c r="C58" s="31">
        <v>0.1700113720993649</v>
      </c>
      <c r="D58" s="32">
        <v>0.1700113720993649</v>
      </c>
      <c r="E58" s="32">
        <v>0.1700113720993649</v>
      </c>
      <c r="F58" s="32">
        <v>0.1700113720993649</v>
      </c>
      <c r="G58" s="32">
        <v>0.1700113720993649</v>
      </c>
      <c r="H58" s="32">
        <v>0.1700113720993649</v>
      </c>
      <c r="I58" s="32">
        <v>0.1700113720993649</v>
      </c>
      <c r="J58" s="32">
        <v>0.1700113720993649</v>
      </c>
      <c r="K58" s="32">
        <v>0.1700113720993649</v>
      </c>
      <c r="L58" s="32">
        <v>0.1700113720993649</v>
      </c>
      <c r="M58" s="32">
        <v>0.1700113720993649</v>
      </c>
      <c r="N58" s="33">
        <v>0.1700113720993649</v>
      </c>
      <c r="O58" s="31">
        <f t="shared" ref="O58:Z58" si="34">SUM(O35:O57)</f>
        <v>0.2117</v>
      </c>
      <c r="P58" s="32">
        <f t="shared" si="34"/>
        <v>0.2117</v>
      </c>
      <c r="Q58" s="32">
        <f t="shared" si="34"/>
        <v>0.2117</v>
      </c>
      <c r="R58" s="32">
        <f t="shared" si="34"/>
        <v>0.2117</v>
      </c>
      <c r="S58" s="32">
        <f t="shared" si="34"/>
        <v>0.2117</v>
      </c>
      <c r="T58" s="32">
        <f t="shared" si="34"/>
        <v>0.2117</v>
      </c>
      <c r="U58" s="32">
        <f t="shared" si="34"/>
        <v>0.2117</v>
      </c>
      <c r="V58" s="32">
        <f t="shared" si="34"/>
        <v>0.2117</v>
      </c>
      <c r="W58" s="32">
        <f t="shared" si="34"/>
        <v>0.2117</v>
      </c>
      <c r="X58" s="32">
        <f t="shared" si="34"/>
        <v>0.2117</v>
      </c>
      <c r="Y58" s="32">
        <f t="shared" si="34"/>
        <v>0.2117</v>
      </c>
      <c r="Z58" s="33">
        <f t="shared" si="34"/>
        <v>0.2117</v>
      </c>
    </row>
    <row r="59" ht="8.25" customHeight="1">
      <c r="A59" s="5"/>
      <c r="B59" s="13" t="str">
        <f t="shared" ref="B59:B64" si="36">B26</f>
        <v>ARRETS MACHINES</v>
      </c>
      <c r="C59" s="34">
        <v>0.05</v>
      </c>
      <c r="D59" s="35">
        <v>0.05</v>
      </c>
      <c r="E59" s="35">
        <v>0.05</v>
      </c>
      <c r="F59" s="35">
        <v>0.05</v>
      </c>
      <c r="G59" s="35">
        <v>0.05</v>
      </c>
      <c r="H59" s="35">
        <v>0.05</v>
      </c>
      <c r="I59" s="35">
        <v>0.05</v>
      </c>
      <c r="J59" s="35">
        <v>0.05</v>
      </c>
      <c r="K59" s="35">
        <v>0.05</v>
      </c>
      <c r="L59" s="35">
        <v>0.05</v>
      </c>
      <c r="M59" s="35">
        <v>0.05</v>
      </c>
      <c r="N59" s="36">
        <v>0.05</v>
      </c>
      <c r="O59" s="34">
        <f t="shared" ref="O59:Z59" si="35">SUM(O35:O37)</f>
        <v>0.063</v>
      </c>
      <c r="P59" s="35">
        <f t="shared" si="35"/>
        <v>0.063</v>
      </c>
      <c r="Q59" s="35">
        <f t="shared" si="35"/>
        <v>0.063</v>
      </c>
      <c r="R59" s="35">
        <f t="shared" si="35"/>
        <v>0.063</v>
      </c>
      <c r="S59" s="35">
        <f t="shared" si="35"/>
        <v>0.063</v>
      </c>
      <c r="T59" s="35">
        <f t="shared" si="35"/>
        <v>0.063</v>
      </c>
      <c r="U59" s="35">
        <f t="shared" si="35"/>
        <v>0.063</v>
      </c>
      <c r="V59" s="35">
        <f t="shared" si="35"/>
        <v>0.063</v>
      </c>
      <c r="W59" s="35">
        <f t="shared" si="35"/>
        <v>0.063</v>
      </c>
      <c r="X59" s="35">
        <f t="shared" si="35"/>
        <v>0.063</v>
      </c>
      <c r="Y59" s="35">
        <f t="shared" si="35"/>
        <v>0.063</v>
      </c>
      <c r="Z59" s="36">
        <f t="shared" si="35"/>
        <v>0.063</v>
      </c>
    </row>
    <row r="60" ht="8.25" customHeight="1">
      <c r="A60" s="5"/>
      <c r="B60" s="13" t="str">
        <f t="shared" si="36"/>
        <v>ARRETS OUTILS</v>
      </c>
      <c r="C60" s="16">
        <v>0.0389</v>
      </c>
      <c r="D60" s="17">
        <v>0.0389</v>
      </c>
      <c r="E60" s="17">
        <v>0.0389</v>
      </c>
      <c r="F60" s="17">
        <v>0.0389</v>
      </c>
      <c r="G60" s="17">
        <v>0.0389</v>
      </c>
      <c r="H60" s="17">
        <v>0.0389</v>
      </c>
      <c r="I60" s="17">
        <v>0.0389</v>
      </c>
      <c r="J60" s="17">
        <v>0.0389</v>
      </c>
      <c r="K60" s="17">
        <v>0.0389</v>
      </c>
      <c r="L60" s="17">
        <v>0.0389</v>
      </c>
      <c r="M60" s="17">
        <v>0.0389</v>
      </c>
      <c r="N60" s="37">
        <v>0.0389</v>
      </c>
      <c r="O60" s="16">
        <f t="shared" ref="O60:Z60" si="37">SUM(O38:O40)</f>
        <v>0.0378</v>
      </c>
      <c r="P60" s="17">
        <f t="shared" si="37"/>
        <v>0.0378</v>
      </c>
      <c r="Q60" s="17">
        <f t="shared" si="37"/>
        <v>0.0378</v>
      </c>
      <c r="R60" s="17">
        <f t="shared" si="37"/>
        <v>0.0378</v>
      </c>
      <c r="S60" s="17">
        <f t="shared" si="37"/>
        <v>0.0378</v>
      </c>
      <c r="T60" s="17">
        <f t="shared" si="37"/>
        <v>0.0378</v>
      </c>
      <c r="U60" s="17">
        <f t="shared" si="37"/>
        <v>0.0378</v>
      </c>
      <c r="V60" s="17">
        <f t="shared" si="37"/>
        <v>0.0378</v>
      </c>
      <c r="W60" s="17">
        <f t="shared" si="37"/>
        <v>0.0378</v>
      </c>
      <c r="X60" s="17">
        <f t="shared" si="37"/>
        <v>0.0378</v>
      </c>
      <c r="Y60" s="17">
        <f t="shared" si="37"/>
        <v>0.0378</v>
      </c>
      <c r="Z60" s="37">
        <f t="shared" si="37"/>
        <v>0.0378</v>
      </c>
    </row>
    <row r="61" ht="8.25" customHeight="1">
      <c r="A61" s="5"/>
      <c r="B61" s="13" t="str">
        <f t="shared" si="36"/>
        <v>ARRETS INDUITS</v>
      </c>
      <c r="C61" s="16">
        <v>0.0167</v>
      </c>
      <c r="D61" s="17">
        <v>0.0167</v>
      </c>
      <c r="E61" s="17">
        <v>0.0167</v>
      </c>
      <c r="F61" s="17">
        <v>0.0167</v>
      </c>
      <c r="G61" s="17">
        <v>0.0167</v>
      </c>
      <c r="H61" s="17">
        <v>0.0167</v>
      </c>
      <c r="I61" s="17">
        <v>0.0167</v>
      </c>
      <c r="J61" s="17">
        <v>0.0167</v>
      </c>
      <c r="K61" s="17">
        <v>0.0167</v>
      </c>
      <c r="L61" s="17">
        <v>0.0167</v>
      </c>
      <c r="M61" s="17">
        <v>0.0167</v>
      </c>
      <c r="N61" s="37">
        <v>0.0167</v>
      </c>
      <c r="O61" s="16">
        <f t="shared" ref="O61:Z61" si="38">SUM(O41:O46)</f>
        <v>0.015</v>
      </c>
      <c r="P61" s="17">
        <f t="shared" si="38"/>
        <v>0.015</v>
      </c>
      <c r="Q61" s="17">
        <f t="shared" si="38"/>
        <v>0.015</v>
      </c>
      <c r="R61" s="17">
        <f t="shared" si="38"/>
        <v>0.015</v>
      </c>
      <c r="S61" s="17">
        <f t="shared" si="38"/>
        <v>0.015</v>
      </c>
      <c r="T61" s="17">
        <f t="shared" si="38"/>
        <v>0.015</v>
      </c>
      <c r="U61" s="17">
        <f t="shared" si="38"/>
        <v>0.015</v>
      </c>
      <c r="V61" s="17">
        <f t="shared" si="38"/>
        <v>0.015</v>
      </c>
      <c r="W61" s="17">
        <f t="shared" si="38"/>
        <v>0.015</v>
      </c>
      <c r="X61" s="17">
        <f t="shared" si="38"/>
        <v>0.015</v>
      </c>
      <c r="Y61" s="17">
        <f t="shared" si="38"/>
        <v>0.015</v>
      </c>
      <c r="Z61" s="37">
        <f t="shared" si="38"/>
        <v>0.015</v>
      </c>
    </row>
    <row r="62" ht="8.25" customHeight="1">
      <c r="A62" s="5"/>
      <c r="B62" s="13" t="str">
        <f t="shared" si="36"/>
        <v>ARRETS FONCTIONNELS</v>
      </c>
      <c r="C62" s="16">
        <v>0.0459113720993649</v>
      </c>
      <c r="D62" s="17">
        <v>0.0459113720993649</v>
      </c>
      <c r="E62" s="17">
        <v>0.0459113720993649</v>
      </c>
      <c r="F62" s="17">
        <v>0.0459113720993649</v>
      </c>
      <c r="G62" s="17">
        <v>0.0459113720993649</v>
      </c>
      <c r="H62" s="17">
        <v>0.0459113720993649</v>
      </c>
      <c r="I62" s="17">
        <v>0.0459113720993649</v>
      </c>
      <c r="J62" s="17">
        <v>0.0459113720993649</v>
      </c>
      <c r="K62" s="17">
        <v>0.0459113720993649</v>
      </c>
      <c r="L62" s="17">
        <v>0.0459113720993649</v>
      </c>
      <c r="M62" s="17">
        <v>0.0459113720993649</v>
      </c>
      <c r="N62" s="37">
        <v>0.0459113720993649</v>
      </c>
      <c r="O62" s="16">
        <f t="shared" ref="O62:Z62" si="39">SUM(O47:O54)</f>
        <v>0.0609</v>
      </c>
      <c r="P62" s="17">
        <f t="shared" si="39"/>
        <v>0.0609</v>
      </c>
      <c r="Q62" s="17">
        <f t="shared" si="39"/>
        <v>0.0609</v>
      </c>
      <c r="R62" s="17">
        <f t="shared" si="39"/>
        <v>0.0609</v>
      </c>
      <c r="S62" s="17">
        <f t="shared" si="39"/>
        <v>0.0609</v>
      </c>
      <c r="T62" s="17">
        <f t="shared" si="39"/>
        <v>0.0609</v>
      </c>
      <c r="U62" s="17">
        <f t="shared" si="39"/>
        <v>0.0609</v>
      </c>
      <c r="V62" s="17">
        <f t="shared" si="39"/>
        <v>0.0609</v>
      </c>
      <c r="W62" s="17">
        <f t="shared" si="39"/>
        <v>0.0609</v>
      </c>
      <c r="X62" s="17">
        <f t="shared" si="39"/>
        <v>0.0609</v>
      </c>
      <c r="Y62" s="17">
        <f t="shared" si="39"/>
        <v>0.0609</v>
      </c>
      <c r="Z62" s="37">
        <f t="shared" si="39"/>
        <v>0.0609</v>
      </c>
    </row>
    <row r="63" ht="8.25" customHeight="1">
      <c r="A63" s="5"/>
      <c r="B63" s="13" t="str">
        <f t="shared" si="36"/>
        <v>PERTES QUALITE</v>
      </c>
      <c r="C63" s="16">
        <v>0.0</v>
      </c>
      <c r="D63" s="17">
        <v>0.0</v>
      </c>
      <c r="E63" s="17">
        <v>0.0</v>
      </c>
      <c r="F63" s="17">
        <v>0.0</v>
      </c>
      <c r="G63" s="17">
        <v>0.0</v>
      </c>
      <c r="H63" s="17">
        <v>0.0</v>
      </c>
      <c r="I63" s="17">
        <v>0.0</v>
      </c>
      <c r="J63" s="17">
        <v>0.0</v>
      </c>
      <c r="K63" s="17">
        <v>0.0</v>
      </c>
      <c r="L63" s="17">
        <v>0.0</v>
      </c>
      <c r="M63" s="17">
        <v>0.0</v>
      </c>
      <c r="N63" s="37">
        <v>0.0</v>
      </c>
      <c r="O63" s="16">
        <f t="shared" ref="O63:Z63" si="40">SUM(O55:O56)</f>
        <v>0.005</v>
      </c>
      <c r="P63" s="17">
        <f t="shared" si="40"/>
        <v>0.005</v>
      </c>
      <c r="Q63" s="17">
        <f t="shared" si="40"/>
        <v>0.005</v>
      </c>
      <c r="R63" s="17">
        <f t="shared" si="40"/>
        <v>0.005</v>
      </c>
      <c r="S63" s="17">
        <f t="shared" si="40"/>
        <v>0.005</v>
      </c>
      <c r="T63" s="17">
        <f t="shared" si="40"/>
        <v>0.005</v>
      </c>
      <c r="U63" s="17">
        <f t="shared" si="40"/>
        <v>0.005</v>
      </c>
      <c r="V63" s="17">
        <f t="shared" si="40"/>
        <v>0.005</v>
      </c>
      <c r="W63" s="17">
        <f t="shared" si="40"/>
        <v>0.005</v>
      </c>
      <c r="X63" s="17">
        <f t="shared" si="40"/>
        <v>0.005</v>
      </c>
      <c r="Y63" s="17">
        <f t="shared" si="40"/>
        <v>0.005</v>
      </c>
      <c r="Z63" s="37">
        <f t="shared" si="40"/>
        <v>0.005</v>
      </c>
    </row>
    <row r="64" ht="9.0" customHeight="1">
      <c r="A64" s="5"/>
      <c r="B64" s="13" t="str">
        <f t="shared" si="36"/>
        <v>PERTES CYCLE</v>
      </c>
      <c r="C64" s="38">
        <v>0.018500000000000003</v>
      </c>
      <c r="D64" s="39">
        <v>0.018500000000000003</v>
      </c>
      <c r="E64" s="39">
        <v>0.018500000000000003</v>
      </c>
      <c r="F64" s="39">
        <v>0.018500000000000003</v>
      </c>
      <c r="G64" s="39">
        <v>0.018500000000000003</v>
      </c>
      <c r="H64" s="39">
        <v>0.018500000000000003</v>
      </c>
      <c r="I64" s="39">
        <v>0.018500000000000003</v>
      </c>
      <c r="J64" s="39">
        <v>0.018500000000000003</v>
      </c>
      <c r="K64" s="39">
        <v>0.018500000000000003</v>
      </c>
      <c r="L64" s="39">
        <v>0.018500000000000003</v>
      </c>
      <c r="M64" s="39">
        <v>0.018500000000000003</v>
      </c>
      <c r="N64" s="40">
        <v>0.018500000000000003</v>
      </c>
      <c r="O64" s="38">
        <f t="shared" ref="O64:Z64" si="41">O57</f>
        <v>0.03</v>
      </c>
      <c r="P64" s="39">
        <f t="shared" si="41"/>
        <v>0.03</v>
      </c>
      <c r="Q64" s="39">
        <f t="shared" si="41"/>
        <v>0.03</v>
      </c>
      <c r="R64" s="39">
        <f t="shared" si="41"/>
        <v>0.03</v>
      </c>
      <c r="S64" s="39">
        <f t="shared" si="41"/>
        <v>0.03</v>
      </c>
      <c r="T64" s="39">
        <f t="shared" si="41"/>
        <v>0.03</v>
      </c>
      <c r="U64" s="39">
        <f t="shared" si="41"/>
        <v>0.03</v>
      </c>
      <c r="V64" s="39">
        <f t="shared" si="41"/>
        <v>0.03</v>
      </c>
      <c r="W64" s="39">
        <f t="shared" si="41"/>
        <v>0.03</v>
      </c>
      <c r="X64" s="39">
        <f t="shared" si="41"/>
        <v>0.03</v>
      </c>
      <c r="Y64" s="39">
        <f t="shared" si="41"/>
        <v>0.03</v>
      </c>
      <c r="Z64" s="40">
        <f t="shared" si="41"/>
        <v>0.03</v>
      </c>
    </row>
    <row r="65" ht="13.5" customHeight="1">
      <c r="A65" s="20"/>
      <c r="B65" s="2" t="s">
        <v>2</v>
      </c>
      <c r="C65" s="21">
        <v>0.8299886279006351</v>
      </c>
      <c r="D65" s="22">
        <v>0.8299886279006351</v>
      </c>
      <c r="E65" s="22">
        <v>0.8299886279006351</v>
      </c>
      <c r="F65" s="22">
        <v>0.8299886279006351</v>
      </c>
      <c r="G65" s="22">
        <v>0.8299886279006351</v>
      </c>
      <c r="H65" s="22">
        <v>0.8299886279006351</v>
      </c>
      <c r="I65" s="22">
        <v>0.8299886279006351</v>
      </c>
      <c r="J65" s="22">
        <v>0.8299886279006351</v>
      </c>
      <c r="K65" s="22">
        <v>0.8299886279006351</v>
      </c>
      <c r="L65" s="22">
        <v>0.8299886279006351</v>
      </c>
      <c r="M65" s="22">
        <v>0.8299886279006351</v>
      </c>
      <c r="N65" s="41">
        <v>0.8299886279006351</v>
      </c>
      <c r="O65" s="21">
        <f t="shared" ref="O65:Z65" si="42">100%-O58</f>
        <v>0.7883</v>
      </c>
      <c r="P65" s="22">
        <f t="shared" si="42"/>
        <v>0.7883</v>
      </c>
      <c r="Q65" s="22">
        <f t="shared" si="42"/>
        <v>0.7883</v>
      </c>
      <c r="R65" s="22">
        <f t="shared" si="42"/>
        <v>0.7883</v>
      </c>
      <c r="S65" s="22">
        <f t="shared" si="42"/>
        <v>0.7883</v>
      </c>
      <c r="T65" s="22">
        <f t="shared" si="42"/>
        <v>0.7883</v>
      </c>
      <c r="U65" s="22">
        <f t="shared" si="42"/>
        <v>0.7883</v>
      </c>
      <c r="V65" s="22">
        <f t="shared" si="42"/>
        <v>0.7883</v>
      </c>
      <c r="W65" s="22">
        <f t="shared" si="42"/>
        <v>0.7883</v>
      </c>
      <c r="X65" s="22">
        <f t="shared" si="42"/>
        <v>0.7883</v>
      </c>
      <c r="Y65" s="22">
        <f t="shared" si="42"/>
        <v>0.7883</v>
      </c>
      <c r="Z65" s="41">
        <f t="shared" si="42"/>
        <v>0.7883</v>
      </c>
    </row>
    <row r="66" ht="8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8.25" customHeight="1">
      <c r="A67" s="1" t="s">
        <v>4</v>
      </c>
      <c r="B67" s="2" t="str">
        <f>"Non RO - "&amp;VLOOKUP(A67,'Paramétrage'!$E$6:$F$16,2,FALSE)</f>
        <v>Non RO - T601</v>
      </c>
      <c r="C67" s="24">
        <f t="shared" ref="C67:Z67" si="43">C1</f>
        <v>45292</v>
      </c>
      <c r="D67" s="24">
        <f t="shared" si="43"/>
        <v>45323</v>
      </c>
      <c r="E67" s="24">
        <f t="shared" si="43"/>
        <v>45352</v>
      </c>
      <c r="F67" s="24">
        <f t="shared" si="43"/>
        <v>45383</v>
      </c>
      <c r="G67" s="24">
        <f t="shared" si="43"/>
        <v>45413</v>
      </c>
      <c r="H67" s="24">
        <f t="shared" si="43"/>
        <v>45444</v>
      </c>
      <c r="I67" s="24">
        <f t="shared" si="43"/>
        <v>45474</v>
      </c>
      <c r="J67" s="24">
        <f t="shared" si="43"/>
        <v>45505</v>
      </c>
      <c r="K67" s="24">
        <f t="shared" si="43"/>
        <v>45536</v>
      </c>
      <c r="L67" s="24">
        <f t="shared" si="43"/>
        <v>45566</v>
      </c>
      <c r="M67" s="24">
        <f t="shared" si="43"/>
        <v>45597</v>
      </c>
      <c r="N67" s="24">
        <f t="shared" si="43"/>
        <v>45627</v>
      </c>
      <c r="O67" s="24">
        <f t="shared" si="43"/>
        <v>45658</v>
      </c>
      <c r="P67" s="24">
        <f t="shared" si="43"/>
        <v>45689</v>
      </c>
      <c r="Q67" s="24">
        <f t="shared" si="43"/>
        <v>45717</v>
      </c>
      <c r="R67" s="24">
        <f t="shared" si="43"/>
        <v>45748</v>
      </c>
      <c r="S67" s="24">
        <f t="shared" si="43"/>
        <v>45778</v>
      </c>
      <c r="T67" s="24">
        <f t="shared" si="43"/>
        <v>45809</v>
      </c>
      <c r="U67" s="24">
        <f t="shared" si="43"/>
        <v>45839</v>
      </c>
      <c r="V67" s="24">
        <f t="shared" si="43"/>
        <v>45870</v>
      </c>
      <c r="W67" s="24">
        <f t="shared" si="43"/>
        <v>45901</v>
      </c>
      <c r="X67" s="24">
        <f t="shared" si="43"/>
        <v>45931</v>
      </c>
      <c r="Y67" s="24">
        <f t="shared" si="43"/>
        <v>45962</v>
      </c>
      <c r="Z67" s="24">
        <f t="shared" si="43"/>
        <v>45992</v>
      </c>
    </row>
    <row r="68" ht="11.25" customHeight="1">
      <c r="A68" s="5"/>
      <c r="B68" s="6" t="str">
        <f t="shared" ref="B68:B90" si="45">B35</f>
        <v>PRESSES</v>
      </c>
      <c r="C68" s="42">
        <v>0.01</v>
      </c>
      <c r="D68" s="7">
        <v>0.01</v>
      </c>
      <c r="E68" s="7">
        <v>0.01</v>
      </c>
      <c r="F68" s="7">
        <v>0.01</v>
      </c>
      <c r="G68" s="7">
        <v>0.01</v>
      </c>
      <c r="H68" s="7">
        <v>0.01</v>
      </c>
      <c r="I68" s="7">
        <v>0.01</v>
      </c>
      <c r="J68" s="7">
        <v>0.01</v>
      </c>
      <c r="K68" s="7">
        <v>0.01</v>
      </c>
      <c r="L68" s="7">
        <v>0.01</v>
      </c>
      <c r="M68" s="7">
        <v>0.01</v>
      </c>
      <c r="N68" s="42">
        <v>0.01</v>
      </c>
      <c r="O68" s="7">
        <f t="shared" ref="O68:Z68" si="44">N68</f>
        <v>0.01</v>
      </c>
      <c r="P68" s="7">
        <f t="shared" si="44"/>
        <v>0.01</v>
      </c>
      <c r="Q68" s="7">
        <f t="shared" si="44"/>
        <v>0.01</v>
      </c>
      <c r="R68" s="7">
        <f t="shared" si="44"/>
        <v>0.01</v>
      </c>
      <c r="S68" s="7">
        <f t="shared" si="44"/>
        <v>0.01</v>
      </c>
      <c r="T68" s="7">
        <f t="shared" si="44"/>
        <v>0.01</v>
      </c>
      <c r="U68" s="7">
        <f t="shared" si="44"/>
        <v>0.01</v>
      </c>
      <c r="V68" s="7">
        <f t="shared" si="44"/>
        <v>0.01</v>
      </c>
      <c r="W68" s="7">
        <f t="shared" si="44"/>
        <v>0.01</v>
      </c>
      <c r="X68" s="7">
        <f t="shared" si="44"/>
        <v>0.01</v>
      </c>
      <c r="Y68" s="7">
        <f t="shared" si="44"/>
        <v>0.01</v>
      </c>
      <c r="Z68" s="7">
        <f t="shared" si="44"/>
        <v>0.01</v>
      </c>
    </row>
    <row r="69" ht="11.25" customHeight="1">
      <c r="A69" s="5"/>
      <c r="B69" s="6" t="str">
        <f t="shared" si="45"/>
        <v>EQUIPEMENTS</v>
      </c>
      <c r="C69" s="43">
        <v>0.025</v>
      </c>
      <c r="D69" s="8">
        <v>0.025</v>
      </c>
      <c r="E69" s="8">
        <v>0.025</v>
      </c>
      <c r="F69" s="8">
        <v>0.025</v>
      </c>
      <c r="G69" s="8">
        <v>0.025</v>
      </c>
      <c r="H69" s="8">
        <v>0.025</v>
      </c>
      <c r="I69" s="8">
        <v>0.025</v>
      </c>
      <c r="J69" s="8">
        <v>0.025</v>
      </c>
      <c r="K69" s="8">
        <v>0.025</v>
      </c>
      <c r="L69" s="8">
        <v>0.025</v>
      </c>
      <c r="M69" s="8">
        <v>0.025</v>
      </c>
      <c r="N69" s="43">
        <v>0.025</v>
      </c>
      <c r="O69" s="8">
        <f t="shared" ref="O69:Z69" si="46">N69</f>
        <v>0.025</v>
      </c>
      <c r="P69" s="8">
        <f t="shared" si="46"/>
        <v>0.025</v>
      </c>
      <c r="Q69" s="8">
        <f t="shared" si="46"/>
        <v>0.025</v>
      </c>
      <c r="R69" s="8">
        <f t="shared" si="46"/>
        <v>0.025</v>
      </c>
      <c r="S69" s="8">
        <f t="shared" si="46"/>
        <v>0.025</v>
      </c>
      <c r="T69" s="8">
        <f t="shared" si="46"/>
        <v>0.025</v>
      </c>
      <c r="U69" s="8">
        <f t="shared" si="46"/>
        <v>0.025</v>
      </c>
      <c r="V69" s="8">
        <f t="shared" si="46"/>
        <v>0.025</v>
      </c>
      <c r="W69" s="8">
        <f t="shared" si="46"/>
        <v>0.025</v>
      </c>
      <c r="X69" s="8">
        <f t="shared" si="46"/>
        <v>0.025</v>
      </c>
      <c r="Y69" s="8">
        <f t="shared" si="46"/>
        <v>0.025</v>
      </c>
      <c r="Z69" s="8">
        <f t="shared" si="46"/>
        <v>0.025</v>
      </c>
    </row>
    <row r="70" ht="11.25" customHeight="1">
      <c r="A70" s="5"/>
      <c r="B70" s="6" t="str">
        <f t="shared" si="45"/>
        <v>CONVOYEURS</v>
      </c>
      <c r="C70" s="43">
        <v>0.003</v>
      </c>
      <c r="D70" s="8">
        <v>0.003</v>
      </c>
      <c r="E70" s="8">
        <v>0.003</v>
      </c>
      <c r="F70" s="8">
        <v>0.003</v>
      </c>
      <c r="G70" s="8">
        <v>0.003</v>
      </c>
      <c r="H70" s="8">
        <v>0.003</v>
      </c>
      <c r="I70" s="8">
        <v>0.003</v>
      </c>
      <c r="J70" s="8">
        <v>0.003</v>
      </c>
      <c r="K70" s="8">
        <v>0.003</v>
      </c>
      <c r="L70" s="8">
        <v>0.003</v>
      </c>
      <c r="M70" s="8">
        <v>0.003</v>
      </c>
      <c r="N70" s="43">
        <v>0.003</v>
      </c>
      <c r="O70" s="8">
        <f t="shared" ref="O70:Z70" si="47">N70</f>
        <v>0.003</v>
      </c>
      <c r="P70" s="8">
        <f t="shared" si="47"/>
        <v>0.003</v>
      </c>
      <c r="Q70" s="8">
        <f t="shared" si="47"/>
        <v>0.003</v>
      </c>
      <c r="R70" s="8">
        <f t="shared" si="47"/>
        <v>0.003</v>
      </c>
      <c r="S70" s="8">
        <f t="shared" si="47"/>
        <v>0.003</v>
      </c>
      <c r="T70" s="8">
        <f t="shared" si="47"/>
        <v>0.003</v>
      </c>
      <c r="U70" s="8">
        <f t="shared" si="47"/>
        <v>0.003</v>
      </c>
      <c r="V70" s="8">
        <f t="shared" si="47"/>
        <v>0.003</v>
      </c>
      <c r="W70" s="8">
        <f t="shared" si="47"/>
        <v>0.003</v>
      </c>
      <c r="X70" s="8">
        <f t="shared" si="47"/>
        <v>0.003</v>
      </c>
      <c r="Y70" s="8">
        <f t="shared" si="47"/>
        <v>0.003</v>
      </c>
      <c r="Z70" s="8">
        <f t="shared" si="47"/>
        <v>0.003</v>
      </c>
    </row>
    <row r="71" ht="11.25" customHeight="1">
      <c r="A71" s="5"/>
      <c r="B71" s="6" t="str">
        <f t="shared" si="45"/>
        <v>OUTILS</v>
      </c>
      <c r="C71" s="43">
        <v>0.003</v>
      </c>
      <c r="D71" s="8">
        <v>0.003</v>
      </c>
      <c r="E71" s="8">
        <v>0.003</v>
      </c>
      <c r="F71" s="8">
        <v>0.003</v>
      </c>
      <c r="G71" s="8">
        <v>0.003</v>
      </c>
      <c r="H71" s="8">
        <v>0.003</v>
      </c>
      <c r="I71" s="8">
        <v>0.003</v>
      </c>
      <c r="J71" s="8">
        <v>0.003</v>
      </c>
      <c r="K71" s="8">
        <v>0.003</v>
      </c>
      <c r="L71" s="8">
        <v>0.003</v>
      </c>
      <c r="M71" s="8">
        <v>0.003</v>
      </c>
      <c r="N71" s="43">
        <v>0.003</v>
      </c>
      <c r="O71" s="8">
        <f t="shared" ref="O71:Z71" si="48">N71</f>
        <v>0.003</v>
      </c>
      <c r="P71" s="8">
        <f t="shared" si="48"/>
        <v>0.003</v>
      </c>
      <c r="Q71" s="8">
        <f t="shared" si="48"/>
        <v>0.003</v>
      </c>
      <c r="R71" s="8">
        <f t="shared" si="48"/>
        <v>0.003</v>
      </c>
      <c r="S71" s="8">
        <f t="shared" si="48"/>
        <v>0.003</v>
      </c>
      <c r="T71" s="8">
        <f t="shared" si="48"/>
        <v>0.003</v>
      </c>
      <c r="U71" s="8">
        <f t="shared" si="48"/>
        <v>0.003</v>
      </c>
      <c r="V71" s="8">
        <f t="shared" si="48"/>
        <v>0.003</v>
      </c>
      <c r="W71" s="8">
        <f t="shared" si="48"/>
        <v>0.003</v>
      </c>
      <c r="X71" s="8">
        <f t="shared" si="48"/>
        <v>0.003</v>
      </c>
      <c r="Y71" s="8">
        <f t="shared" si="48"/>
        <v>0.003</v>
      </c>
      <c r="Z71" s="8">
        <f t="shared" si="48"/>
        <v>0.003</v>
      </c>
    </row>
    <row r="72" ht="11.25" customHeight="1">
      <c r="A72" s="5"/>
      <c r="B72" s="6" t="str">
        <f t="shared" si="45"/>
        <v>ESSUYAGE OUTIL</v>
      </c>
      <c r="C72" s="43">
        <v>0.0</v>
      </c>
      <c r="D72" s="8">
        <v>0.0</v>
      </c>
      <c r="E72" s="8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8">
        <v>0.0</v>
      </c>
      <c r="N72" s="44">
        <v>0.0</v>
      </c>
      <c r="O72" s="8">
        <f t="shared" ref="O72:Z72" si="49">N72</f>
        <v>0</v>
      </c>
      <c r="P72" s="8">
        <f t="shared" si="49"/>
        <v>0</v>
      </c>
      <c r="Q72" s="8">
        <f t="shared" si="49"/>
        <v>0</v>
      </c>
      <c r="R72" s="8">
        <f t="shared" si="49"/>
        <v>0</v>
      </c>
      <c r="S72" s="8">
        <f t="shared" si="49"/>
        <v>0</v>
      </c>
      <c r="T72" s="8">
        <f t="shared" si="49"/>
        <v>0</v>
      </c>
      <c r="U72" s="8">
        <f t="shared" si="49"/>
        <v>0</v>
      </c>
      <c r="V72" s="8">
        <f t="shared" si="49"/>
        <v>0</v>
      </c>
      <c r="W72" s="8">
        <f t="shared" si="49"/>
        <v>0</v>
      </c>
      <c r="X72" s="8">
        <f t="shared" si="49"/>
        <v>0</v>
      </c>
      <c r="Y72" s="8">
        <f t="shared" si="49"/>
        <v>0</v>
      </c>
      <c r="Z72" s="8">
        <f t="shared" si="49"/>
        <v>0</v>
      </c>
    </row>
    <row r="73" ht="11.25" customHeight="1">
      <c r="A73" s="5"/>
      <c r="B73" s="6" t="str">
        <f t="shared" si="45"/>
        <v>MECANISATIONS</v>
      </c>
      <c r="C73" s="43">
        <v>0.0</v>
      </c>
      <c r="D73" s="8">
        <v>0.0</v>
      </c>
      <c r="E73" s="8">
        <v>0.0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0.0</v>
      </c>
      <c r="L73" s="8">
        <v>0.0</v>
      </c>
      <c r="M73" s="8">
        <v>0.0</v>
      </c>
      <c r="N73" s="44">
        <v>0.0</v>
      </c>
      <c r="O73" s="8">
        <f t="shared" ref="O73:Z73" si="50">N73</f>
        <v>0</v>
      </c>
      <c r="P73" s="8">
        <f t="shared" si="50"/>
        <v>0</v>
      </c>
      <c r="Q73" s="8">
        <f t="shared" si="50"/>
        <v>0</v>
      </c>
      <c r="R73" s="8">
        <f t="shared" si="50"/>
        <v>0</v>
      </c>
      <c r="S73" s="8">
        <f t="shared" si="50"/>
        <v>0</v>
      </c>
      <c r="T73" s="8">
        <f t="shared" si="50"/>
        <v>0</v>
      </c>
      <c r="U73" s="8">
        <f t="shared" si="50"/>
        <v>0</v>
      </c>
      <c r="V73" s="8">
        <f t="shared" si="50"/>
        <v>0</v>
      </c>
      <c r="W73" s="8">
        <f t="shared" si="50"/>
        <v>0</v>
      </c>
      <c r="X73" s="8">
        <f t="shared" si="50"/>
        <v>0</v>
      </c>
      <c r="Y73" s="8">
        <f t="shared" si="50"/>
        <v>0</v>
      </c>
      <c r="Z73" s="8">
        <f t="shared" si="50"/>
        <v>0</v>
      </c>
    </row>
    <row r="74" ht="11.25" customHeight="1">
      <c r="A74" s="5"/>
      <c r="B74" s="6" t="str">
        <f t="shared" si="45"/>
        <v>MATIERE</v>
      </c>
      <c r="C74" s="43">
        <v>0.02</v>
      </c>
      <c r="D74" s="8">
        <v>0.02</v>
      </c>
      <c r="E74" s="8">
        <v>0.02</v>
      </c>
      <c r="F74" s="8">
        <v>0.02</v>
      </c>
      <c r="G74" s="8">
        <v>0.02</v>
      </c>
      <c r="H74" s="8">
        <v>0.02</v>
      </c>
      <c r="I74" s="8">
        <v>0.02</v>
      </c>
      <c r="J74" s="8">
        <v>0.02</v>
      </c>
      <c r="K74" s="8">
        <v>0.02</v>
      </c>
      <c r="L74" s="8">
        <v>0.02</v>
      </c>
      <c r="M74" s="8">
        <v>0.02</v>
      </c>
      <c r="N74" s="43">
        <v>0.02</v>
      </c>
      <c r="O74" s="8">
        <f t="shared" ref="O74:Z74" si="51">N74</f>
        <v>0.02</v>
      </c>
      <c r="P74" s="8">
        <f t="shared" si="51"/>
        <v>0.02</v>
      </c>
      <c r="Q74" s="8">
        <f t="shared" si="51"/>
        <v>0.02</v>
      </c>
      <c r="R74" s="8">
        <f t="shared" si="51"/>
        <v>0.02</v>
      </c>
      <c r="S74" s="8">
        <f t="shared" si="51"/>
        <v>0.02</v>
      </c>
      <c r="T74" s="8">
        <f t="shared" si="51"/>
        <v>0.02</v>
      </c>
      <c r="U74" s="8">
        <f t="shared" si="51"/>
        <v>0.02</v>
      </c>
      <c r="V74" s="8">
        <f t="shared" si="51"/>
        <v>0.02</v>
      </c>
      <c r="W74" s="8">
        <f t="shared" si="51"/>
        <v>0.02</v>
      </c>
      <c r="X74" s="8">
        <f t="shared" si="51"/>
        <v>0.02</v>
      </c>
      <c r="Y74" s="8">
        <f t="shared" si="51"/>
        <v>0.02</v>
      </c>
      <c r="Z74" s="8">
        <f t="shared" si="51"/>
        <v>0.02</v>
      </c>
    </row>
    <row r="75" ht="11.25" customHeight="1">
      <c r="A75" s="5"/>
      <c r="B75" s="6" t="str">
        <f t="shared" si="45"/>
        <v>ATTENTE AMONT</v>
      </c>
      <c r="C75" s="43">
        <v>0.0</v>
      </c>
      <c r="D75" s="8">
        <v>0.0</v>
      </c>
      <c r="E75" s="8">
        <v>0.0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0.0</v>
      </c>
      <c r="L75" s="8">
        <v>0.0</v>
      </c>
      <c r="M75" s="8">
        <v>0.0</v>
      </c>
      <c r="N75" s="44">
        <v>0.0</v>
      </c>
      <c r="O75" s="8">
        <f t="shared" ref="O75:Z75" si="52">N75</f>
        <v>0</v>
      </c>
      <c r="P75" s="8">
        <f t="shared" si="52"/>
        <v>0</v>
      </c>
      <c r="Q75" s="8">
        <f t="shared" si="52"/>
        <v>0</v>
      </c>
      <c r="R75" s="8">
        <f t="shared" si="52"/>
        <v>0</v>
      </c>
      <c r="S75" s="8">
        <f t="shared" si="52"/>
        <v>0</v>
      </c>
      <c r="T75" s="8">
        <f t="shared" si="52"/>
        <v>0</v>
      </c>
      <c r="U75" s="8">
        <f t="shared" si="52"/>
        <v>0</v>
      </c>
      <c r="V75" s="8">
        <f t="shared" si="52"/>
        <v>0</v>
      </c>
      <c r="W75" s="8">
        <f t="shared" si="52"/>
        <v>0</v>
      </c>
      <c r="X75" s="8">
        <f t="shared" si="52"/>
        <v>0</v>
      </c>
      <c r="Y75" s="8">
        <f t="shared" si="52"/>
        <v>0</v>
      </c>
      <c r="Z75" s="8">
        <f t="shared" si="52"/>
        <v>0</v>
      </c>
    </row>
    <row r="76" ht="11.25" customHeight="1">
      <c r="A76" s="5"/>
      <c r="B76" s="6" t="str">
        <f t="shared" si="45"/>
        <v>SATURATION</v>
      </c>
      <c r="C76" s="43">
        <v>0.0</v>
      </c>
      <c r="D76" s="8">
        <v>0.0</v>
      </c>
      <c r="E76" s="8">
        <v>0.0</v>
      </c>
      <c r="F76" s="8">
        <v>0.0</v>
      </c>
      <c r="G76" s="8">
        <v>0.0</v>
      </c>
      <c r="H76" s="8">
        <v>0.0</v>
      </c>
      <c r="I76" s="8">
        <v>0.0</v>
      </c>
      <c r="J76" s="8">
        <v>0.0</v>
      </c>
      <c r="K76" s="8">
        <v>0.0</v>
      </c>
      <c r="L76" s="8">
        <v>0.0</v>
      </c>
      <c r="M76" s="8">
        <v>0.0</v>
      </c>
      <c r="N76" s="44">
        <v>0.0</v>
      </c>
      <c r="O76" s="8">
        <f t="shared" ref="O76:Z76" si="53">N76</f>
        <v>0</v>
      </c>
      <c r="P76" s="8">
        <f t="shared" si="53"/>
        <v>0</v>
      </c>
      <c r="Q76" s="8">
        <f t="shared" si="53"/>
        <v>0</v>
      </c>
      <c r="R76" s="8">
        <f t="shared" si="53"/>
        <v>0</v>
      </c>
      <c r="S76" s="8">
        <f t="shared" si="53"/>
        <v>0</v>
      </c>
      <c r="T76" s="8">
        <f t="shared" si="53"/>
        <v>0</v>
      </c>
      <c r="U76" s="8">
        <f t="shared" si="53"/>
        <v>0</v>
      </c>
      <c r="V76" s="8">
        <f t="shared" si="53"/>
        <v>0</v>
      </c>
      <c r="W76" s="8">
        <f t="shared" si="53"/>
        <v>0</v>
      </c>
      <c r="X76" s="8">
        <f t="shared" si="53"/>
        <v>0</v>
      </c>
      <c r="Y76" s="8">
        <f t="shared" si="53"/>
        <v>0</v>
      </c>
      <c r="Z76" s="8">
        <f t="shared" si="53"/>
        <v>0</v>
      </c>
    </row>
    <row r="77" ht="11.25" customHeight="1">
      <c r="A77" s="5"/>
      <c r="B77" s="6" t="str">
        <f t="shared" si="45"/>
        <v>PREPARATION CONVOI</v>
      </c>
      <c r="C77" s="43">
        <v>0.0</v>
      </c>
      <c r="D77" s="8">
        <v>0.0</v>
      </c>
      <c r="E77" s="8">
        <v>0.0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8">
        <v>0.0</v>
      </c>
      <c r="M77" s="8">
        <v>0.0</v>
      </c>
      <c r="N77" s="44">
        <v>0.0</v>
      </c>
      <c r="O77" s="8">
        <f t="shared" ref="O77:Z77" si="54">N77</f>
        <v>0</v>
      </c>
      <c r="P77" s="8">
        <f t="shared" si="54"/>
        <v>0</v>
      </c>
      <c r="Q77" s="8">
        <f t="shared" si="54"/>
        <v>0</v>
      </c>
      <c r="R77" s="8">
        <f t="shared" si="54"/>
        <v>0</v>
      </c>
      <c r="S77" s="8">
        <f t="shared" si="54"/>
        <v>0</v>
      </c>
      <c r="T77" s="8">
        <f t="shared" si="54"/>
        <v>0</v>
      </c>
      <c r="U77" s="8">
        <f t="shared" si="54"/>
        <v>0</v>
      </c>
      <c r="V77" s="8">
        <f t="shared" si="54"/>
        <v>0</v>
      </c>
      <c r="W77" s="8">
        <f t="shared" si="54"/>
        <v>0</v>
      </c>
      <c r="X77" s="8">
        <f t="shared" si="54"/>
        <v>0</v>
      </c>
      <c r="Y77" s="8">
        <f t="shared" si="54"/>
        <v>0</v>
      </c>
      <c r="Z77" s="8">
        <f t="shared" si="54"/>
        <v>0</v>
      </c>
    </row>
    <row r="78" ht="11.25" customHeight="1">
      <c r="A78" s="5"/>
      <c r="B78" s="6" t="str">
        <f t="shared" si="45"/>
        <v>OPERATEURS</v>
      </c>
      <c r="C78" s="43">
        <v>0.001</v>
      </c>
      <c r="D78" s="8">
        <v>0.001</v>
      </c>
      <c r="E78" s="8">
        <v>0.001</v>
      </c>
      <c r="F78" s="8">
        <v>0.001</v>
      </c>
      <c r="G78" s="8">
        <v>0.001</v>
      </c>
      <c r="H78" s="8">
        <v>0.001</v>
      </c>
      <c r="I78" s="8">
        <v>0.001</v>
      </c>
      <c r="J78" s="8">
        <v>0.001</v>
      </c>
      <c r="K78" s="8">
        <v>0.001</v>
      </c>
      <c r="L78" s="8">
        <v>0.001</v>
      </c>
      <c r="M78" s="8">
        <v>0.001</v>
      </c>
      <c r="N78" s="45">
        <v>0.001</v>
      </c>
      <c r="O78" s="8">
        <f t="shared" ref="O78:Z78" si="55">N78</f>
        <v>0.001</v>
      </c>
      <c r="P78" s="8">
        <f t="shared" si="55"/>
        <v>0.001</v>
      </c>
      <c r="Q78" s="8">
        <f t="shared" si="55"/>
        <v>0.001</v>
      </c>
      <c r="R78" s="8">
        <f t="shared" si="55"/>
        <v>0.001</v>
      </c>
      <c r="S78" s="8">
        <f t="shared" si="55"/>
        <v>0.001</v>
      </c>
      <c r="T78" s="8">
        <f t="shared" si="55"/>
        <v>0.001</v>
      </c>
      <c r="U78" s="8">
        <f t="shared" si="55"/>
        <v>0.001</v>
      </c>
      <c r="V78" s="8">
        <f t="shared" si="55"/>
        <v>0.001</v>
      </c>
      <c r="W78" s="8">
        <f t="shared" si="55"/>
        <v>0.001</v>
      </c>
      <c r="X78" s="8">
        <f t="shared" si="55"/>
        <v>0.001</v>
      </c>
      <c r="Y78" s="8">
        <f t="shared" si="55"/>
        <v>0.001</v>
      </c>
      <c r="Z78" s="8">
        <f t="shared" si="55"/>
        <v>0.001</v>
      </c>
    </row>
    <row r="79" ht="11.25" customHeight="1">
      <c r="A79" s="5"/>
      <c r="B79" s="6" t="str">
        <f t="shared" si="45"/>
        <v>NON RENSEIGNEE</v>
      </c>
      <c r="C79" s="43">
        <v>0.001</v>
      </c>
      <c r="D79" s="8">
        <v>0.001</v>
      </c>
      <c r="E79" s="8">
        <v>0.001</v>
      </c>
      <c r="F79" s="8">
        <v>0.001</v>
      </c>
      <c r="G79" s="8">
        <v>0.001</v>
      </c>
      <c r="H79" s="8">
        <v>0.001</v>
      </c>
      <c r="I79" s="8">
        <v>0.001</v>
      </c>
      <c r="J79" s="8">
        <v>0.001</v>
      </c>
      <c r="K79" s="8">
        <v>0.001</v>
      </c>
      <c r="L79" s="8">
        <v>0.001</v>
      </c>
      <c r="M79" s="8">
        <v>0.001</v>
      </c>
      <c r="N79" s="43">
        <v>0.001</v>
      </c>
      <c r="O79" s="8">
        <f t="shared" ref="O79:Z79" si="56">N79</f>
        <v>0.001</v>
      </c>
      <c r="P79" s="8">
        <f t="shared" si="56"/>
        <v>0.001</v>
      </c>
      <c r="Q79" s="8">
        <f t="shared" si="56"/>
        <v>0.001</v>
      </c>
      <c r="R79" s="8">
        <f t="shared" si="56"/>
        <v>0.001</v>
      </c>
      <c r="S79" s="8">
        <f t="shared" si="56"/>
        <v>0.001</v>
      </c>
      <c r="T79" s="8">
        <f t="shared" si="56"/>
        <v>0.001</v>
      </c>
      <c r="U79" s="8">
        <f t="shared" si="56"/>
        <v>0.001</v>
      </c>
      <c r="V79" s="8">
        <f t="shared" si="56"/>
        <v>0.001</v>
      </c>
      <c r="W79" s="8">
        <f t="shared" si="56"/>
        <v>0.001</v>
      </c>
      <c r="X79" s="8">
        <f t="shared" si="56"/>
        <v>0.001</v>
      </c>
      <c r="Y79" s="8">
        <f t="shared" si="56"/>
        <v>0.001</v>
      </c>
      <c r="Z79" s="8">
        <f t="shared" si="56"/>
        <v>0.001</v>
      </c>
    </row>
    <row r="80" ht="11.25" customHeight="1">
      <c r="A80" s="5"/>
      <c r="B80" s="6" t="str">
        <f t="shared" si="45"/>
        <v>MONTAGE CONVOI</v>
      </c>
      <c r="C80" s="43">
        <v>0.115</v>
      </c>
      <c r="D80" s="8">
        <v>0.115</v>
      </c>
      <c r="E80" s="8">
        <v>0.115</v>
      </c>
      <c r="F80" s="8">
        <v>0.115</v>
      </c>
      <c r="G80" s="8">
        <v>0.115</v>
      </c>
      <c r="H80" s="8">
        <v>0.115</v>
      </c>
      <c r="I80" s="8">
        <v>0.115</v>
      </c>
      <c r="J80" s="8">
        <v>0.115</v>
      </c>
      <c r="K80" s="8">
        <v>0.115</v>
      </c>
      <c r="L80" s="8">
        <v>0.115</v>
      </c>
      <c r="M80" s="8">
        <v>0.115</v>
      </c>
      <c r="N80" s="43">
        <v>0.115</v>
      </c>
      <c r="O80" s="8">
        <f t="shared" ref="O80:Z80" si="57">N80</f>
        <v>0.115</v>
      </c>
      <c r="P80" s="8">
        <f t="shared" si="57"/>
        <v>0.115</v>
      </c>
      <c r="Q80" s="8">
        <f t="shared" si="57"/>
        <v>0.115</v>
      </c>
      <c r="R80" s="8">
        <f t="shared" si="57"/>
        <v>0.115</v>
      </c>
      <c r="S80" s="8">
        <f t="shared" si="57"/>
        <v>0.115</v>
      </c>
      <c r="T80" s="8">
        <f t="shared" si="57"/>
        <v>0.115</v>
      </c>
      <c r="U80" s="8">
        <f t="shared" si="57"/>
        <v>0.115</v>
      </c>
      <c r="V80" s="8">
        <f t="shared" si="57"/>
        <v>0.115</v>
      </c>
      <c r="W80" s="8">
        <f t="shared" si="57"/>
        <v>0.115</v>
      </c>
      <c r="X80" s="8">
        <f t="shared" si="57"/>
        <v>0.115</v>
      </c>
      <c r="Y80" s="8">
        <f t="shared" si="57"/>
        <v>0.115</v>
      </c>
      <c r="Z80" s="8">
        <f t="shared" si="57"/>
        <v>0.115</v>
      </c>
    </row>
    <row r="81" ht="11.25" customHeight="1">
      <c r="A81" s="5"/>
      <c r="B81" s="6" t="str">
        <f t="shared" si="45"/>
        <v>REMPLISSAGE</v>
      </c>
      <c r="C81" s="43">
        <v>0.003</v>
      </c>
      <c r="D81" s="8">
        <v>0.003</v>
      </c>
      <c r="E81" s="8">
        <v>0.003</v>
      </c>
      <c r="F81" s="8">
        <v>0.003</v>
      </c>
      <c r="G81" s="8">
        <v>0.003</v>
      </c>
      <c r="H81" s="8">
        <v>0.003</v>
      </c>
      <c r="I81" s="8">
        <v>0.003</v>
      </c>
      <c r="J81" s="8">
        <v>0.003</v>
      </c>
      <c r="K81" s="8">
        <v>0.003</v>
      </c>
      <c r="L81" s="8">
        <v>0.003</v>
      </c>
      <c r="M81" s="8">
        <v>0.003</v>
      </c>
      <c r="N81" s="44">
        <v>0.003</v>
      </c>
      <c r="O81" s="8">
        <f t="shared" ref="O81:Z81" si="58">N81</f>
        <v>0.003</v>
      </c>
      <c r="P81" s="8">
        <f t="shared" si="58"/>
        <v>0.003</v>
      </c>
      <c r="Q81" s="8">
        <f t="shared" si="58"/>
        <v>0.003</v>
      </c>
      <c r="R81" s="8">
        <f t="shared" si="58"/>
        <v>0.003</v>
      </c>
      <c r="S81" s="8">
        <f t="shared" si="58"/>
        <v>0.003</v>
      </c>
      <c r="T81" s="8">
        <f t="shared" si="58"/>
        <v>0.003</v>
      </c>
      <c r="U81" s="8">
        <f t="shared" si="58"/>
        <v>0.003</v>
      </c>
      <c r="V81" s="8">
        <f t="shared" si="58"/>
        <v>0.003</v>
      </c>
      <c r="W81" s="8">
        <f t="shared" si="58"/>
        <v>0.003</v>
      </c>
      <c r="X81" s="8">
        <f t="shared" si="58"/>
        <v>0.003</v>
      </c>
      <c r="Y81" s="8">
        <f t="shared" si="58"/>
        <v>0.003</v>
      </c>
      <c r="Z81" s="8">
        <f t="shared" si="58"/>
        <v>0.003</v>
      </c>
    </row>
    <row r="82" ht="11.25" customHeight="1">
      <c r="A82" s="5"/>
      <c r="B82" s="6" t="str">
        <f t="shared" si="45"/>
        <v>PRE-ACCEPTATION</v>
      </c>
      <c r="C82" s="43">
        <v>0.003</v>
      </c>
      <c r="D82" s="8">
        <v>0.003</v>
      </c>
      <c r="E82" s="8">
        <v>0.003</v>
      </c>
      <c r="F82" s="8">
        <v>0.003</v>
      </c>
      <c r="G82" s="8">
        <v>0.003</v>
      </c>
      <c r="H82" s="8">
        <v>0.003</v>
      </c>
      <c r="I82" s="8">
        <v>0.003</v>
      </c>
      <c r="J82" s="8">
        <v>0.003</v>
      </c>
      <c r="K82" s="8">
        <v>0.003</v>
      </c>
      <c r="L82" s="8">
        <v>0.003</v>
      </c>
      <c r="M82" s="8">
        <v>0.003</v>
      </c>
      <c r="N82" s="43">
        <v>0.003</v>
      </c>
      <c r="O82" s="8">
        <f t="shared" ref="O82:Z82" si="59">N82</f>
        <v>0.003</v>
      </c>
      <c r="P82" s="8">
        <f t="shared" si="59"/>
        <v>0.003</v>
      </c>
      <c r="Q82" s="8">
        <f t="shared" si="59"/>
        <v>0.003</v>
      </c>
      <c r="R82" s="8">
        <f t="shared" si="59"/>
        <v>0.003</v>
      </c>
      <c r="S82" s="8">
        <f t="shared" si="59"/>
        <v>0.003</v>
      </c>
      <c r="T82" s="8">
        <f t="shared" si="59"/>
        <v>0.003</v>
      </c>
      <c r="U82" s="8">
        <f t="shared" si="59"/>
        <v>0.003</v>
      </c>
      <c r="V82" s="8">
        <f t="shared" si="59"/>
        <v>0.003</v>
      </c>
      <c r="W82" s="8">
        <f t="shared" si="59"/>
        <v>0.003</v>
      </c>
      <c r="X82" s="8">
        <f t="shared" si="59"/>
        <v>0.003</v>
      </c>
      <c r="Y82" s="8">
        <f t="shared" si="59"/>
        <v>0.003</v>
      </c>
      <c r="Z82" s="8">
        <f t="shared" si="59"/>
        <v>0.003</v>
      </c>
    </row>
    <row r="83" ht="11.25" customHeight="1">
      <c r="A83" s="5"/>
      <c r="B83" s="6" t="str">
        <f t="shared" si="45"/>
        <v>CHANGEMENT D'INDEX</v>
      </c>
      <c r="C83" s="43">
        <v>0.0</v>
      </c>
      <c r="D83" s="8">
        <v>0.0</v>
      </c>
      <c r="E83" s="8">
        <v>0.0</v>
      </c>
      <c r="F83" s="8">
        <v>0.0</v>
      </c>
      <c r="G83" s="8">
        <v>0.0</v>
      </c>
      <c r="H83" s="8">
        <v>0.0</v>
      </c>
      <c r="I83" s="8">
        <v>0.0</v>
      </c>
      <c r="J83" s="8">
        <v>0.0</v>
      </c>
      <c r="K83" s="8">
        <v>0.0</v>
      </c>
      <c r="L83" s="8">
        <v>0.0</v>
      </c>
      <c r="M83" s="8">
        <v>0.0</v>
      </c>
      <c r="N83" s="44">
        <v>0.0</v>
      </c>
      <c r="O83" s="8">
        <f t="shared" ref="O83:Z83" si="60">N83</f>
        <v>0</v>
      </c>
      <c r="P83" s="8">
        <f t="shared" si="60"/>
        <v>0</v>
      </c>
      <c r="Q83" s="8">
        <f t="shared" si="60"/>
        <v>0</v>
      </c>
      <c r="R83" s="8">
        <f t="shared" si="60"/>
        <v>0</v>
      </c>
      <c r="S83" s="8">
        <f t="shared" si="60"/>
        <v>0</v>
      </c>
      <c r="T83" s="8">
        <f t="shared" si="60"/>
        <v>0</v>
      </c>
      <c r="U83" s="8">
        <f t="shared" si="60"/>
        <v>0</v>
      </c>
      <c r="V83" s="8">
        <f t="shared" si="60"/>
        <v>0</v>
      </c>
      <c r="W83" s="8">
        <f t="shared" si="60"/>
        <v>0</v>
      </c>
      <c r="X83" s="8">
        <f t="shared" si="60"/>
        <v>0</v>
      </c>
      <c r="Y83" s="8">
        <f t="shared" si="60"/>
        <v>0</v>
      </c>
      <c r="Z83" s="8">
        <f t="shared" si="60"/>
        <v>0</v>
      </c>
    </row>
    <row r="84" ht="11.25" customHeight="1">
      <c r="A84" s="5"/>
      <c r="B84" s="6" t="str">
        <f t="shared" si="45"/>
        <v>MISE EN OPERATION</v>
      </c>
      <c r="C84" s="43">
        <v>0.0</v>
      </c>
      <c r="D84" s="8">
        <v>0.0</v>
      </c>
      <c r="E84" s="8">
        <v>0.0</v>
      </c>
      <c r="F84" s="8">
        <v>0.0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  <c r="L84" s="8">
        <v>0.0</v>
      </c>
      <c r="M84" s="8">
        <v>0.0</v>
      </c>
      <c r="N84" s="44">
        <v>0.0</v>
      </c>
      <c r="O84" s="8">
        <f t="shared" ref="O84:Z84" si="61">N84</f>
        <v>0</v>
      </c>
      <c r="P84" s="8">
        <f t="shared" si="61"/>
        <v>0</v>
      </c>
      <c r="Q84" s="8">
        <f t="shared" si="61"/>
        <v>0</v>
      </c>
      <c r="R84" s="8">
        <f t="shared" si="61"/>
        <v>0</v>
      </c>
      <c r="S84" s="8">
        <f t="shared" si="61"/>
        <v>0</v>
      </c>
      <c r="T84" s="8">
        <f t="shared" si="61"/>
        <v>0</v>
      </c>
      <c r="U84" s="8">
        <f t="shared" si="61"/>
        <v>0</v>
      </c>
      <c r="V84" s="8">
        <f t="shared" si="61"/>
        <v>0</v>
      </c>
      <c r="W84" s="8">
        <f t="shared" si="61"/>
        <v>0</v>
      </c>
      <c r="X84" s="8">
        <f t="shared" si="61"/>
        <v>0</v>
      </c>
      <c r="Y84" s="8">
        <f t="shared" si="61"/>
        <v>0</v>
      </c>
      <c r="Z84" s="8">
        <f t="shared" si="61"/>
        <v>0</v>
      </c>
    </row>
    <row r="85" ht="11.25" customHeight="1">
      <c r="A85" s="5"/>
      <c r="B85" s="6" t="str">
        <f t="shared" si="45"/>
        <v>CHANGEMENT DE BOBINE</v>
      </c>
      <c r="C85" s="43">
        <v>0.036</v>
      </c>
      <c r="D85" s="8">
        <v>0.036</v>
      </c>
      <c r="E85" s="8">
        <v>0.036</v>
      </c>
      <c r="F85" s="8">
        <v>0.036</v>
      </c>
      <c r="G85" s="8">
        <v>0.036</v>
      </c>
      <c r="H85" s="8">
        <v>0.036</v>
      </c>
      <c r="I85" s="8">
        <v>0.036</v>
      </c>
      <c r="J85" s="8">
        <v>0.036</v>
      </c>
      <c r="K85" s="8">
        <v>0.036</v>
      </c>
      <c r="L85" s="8">
        <v>0.036</v>
      </c>
      <c r="M85" s="8">
        <v>0.036</v>
      </c>
      <c r="N85" s="43">
        <v>0.036</v>
      </c>
      <c r="O85" s="8">
        <f t="shared" ref="O85:Z85" si="62">N85</f>
        <v>0.036</v>
      </c>
      <c r="P85" s="8">
        <f t="shared" si="62"/>
        <v>0.036</v>
      </c>
      <c r="Q85" s="8">
        <f t="shared" si="62"/>
        <v>0.036</v>
      </c>
      <c r="R85" s="8">
        <f t="shared" si="62"/>
        <v>0.036</v>
      </c>
      <c r="S85" s="8">
        <f t="shared" si="62"/>
        <v>0.036</v>
      </c>
      <c r="T85" s="8">
        <f t="shared" si="62"/>
        <v>0.036</v>
      </c>
      <c r="U85" s="8">
        <f t="shared" si="62"/>
        <v>0.036</v>
      </c>
      <c r="V85" s="8">
        <f t="shared" si="62"/>
        <v>0.036</v>
      </c>
      <c r="W85" s="8">
        <f t="shared" si="62"/>
        <v>0.036</v>
      </c>
      <c r="X85" s="8">
        <f t="shared" si="62"/>
        <v>0.036</v>
      </c>
      <c r="Y85" s="8">
        <f t="shared" si="62"/>
        <v>0.036</v>
      </c>
      <c r="Z85" s="8">
        <f t="shared" si="62"/>
        <v>0.036</v>
      </c>
    </row>
    <row r="86" ht="11.25" customHeight="1">
      <c r="A86" s="5"/>
      <c r="B86" s="6" t="str">
        <f t="shared" si="45"/>
        <v>CHANGEMENT DE BAC</v>
      </c>
      <c r="C86" s="43">
        <v>0.0</v>
      </c>
      <c r="D86" s="8">
        <v>0.0</v>
      </c>
      <c r="E86" s="8">
        <v>0.0</v>
      </c>
      <c r="F86" s="8">
        <v>0.0</v>
      </c>
      <c r="G86" s="8">
        <v>0.0</v>
      </c>
      <c r="H86" s="8">
        <v>0.0</v>
      </c>
      <c r="I86" s="8">
        <v>0.0</v>
      </c>
      <c r="J86" s="8">
        <v>0.0</v>
      </c>
      <c r="K86" s="8">
        <v>0.0</v>
      </c>
      <c r="L86" s="8">
        <v>0.0</v>
      </c>
      <c r="M86" s="8">
        <v>0.0</v>
      </c>
      <c r="N86" s="44">
        <v>0.0</v>
      </c>
      <c r="O86" s="8">
        <f t="shared" ref="O86:Z86" si="63">N86</f>
        <v>0</v>
      </c>
      <c r="P86" s="8">
        <f t="shared" si="63"/>
        <v>0</v>
      </c>
      <c r="Q86" s="8">
        <f t="shared" si="63"/>
        <v>0</v>
      </c>
      <c r="R86" s="8">
        <f t="shared" si="63"/>
        <v>0</v>
      </c>
      <c r="S86" s="8">
        <f t="shared" si="63"/>
        <v>0</v>
      </c>
      <c r="T86" s="8">
        <f t="shared" si="63"/>
        <v>0</v>
      </c>
      <c r="U86" s="8">
        <f t="shared" si="63"/>
        <v>0</v>
      </c>
      <c r="V86" s="8">
        <f t="shared" si="63"/>
        <v>0</v>
      </c>
      <c r="W86" s="8">
        <f t="shared" si="63"/>
        <v>0</v>
      </c>
      <c r="X86" s="8">
        <f t="shared" si="63"/>
        <v>0</v>
      </c>
      <c r="Y86" s="8">
        <f t="shared" si="63"/>
        <v>0</v>
      </c>
      <c r="Z86" s="8">
        <f t="shared" si="63"/>
        <v>0</v>
      </c>
    </row>
    <row r="87" ht="11.25" customHeight="1">
      <c r="A87" s="5"/>
      <c r="B87" s="6" t="str">
        <f t="shared" si="45"/>
        <v>CHANGEMENT DE PALETTE</v>
      </c>
      <c r="C87" s="43">
        <v>0.009</v>
      </c>
      <c r="D87" s="8">
        <v>0.009</v>
      </c>
      <c r="E87" s="8">
        <v>0.009</v>
      </c>
      <c r="F87" s="8">
        <v>0.009</v>
      </c>
      <c r="G87" s="8">
        <v>0.009</v>
      </c>
      <c r="H87" s="8">
        <v>0.009</v>
      </c>
      <c r="I87" s="8">
        <v>0.009</v>
      </c>
      <c r="J87" s="8">
        <v>0.009</v>
      </c>
      <c r="K87" s="8">
        <v>0.009</v>
      </c>
      <c r="L87" s="8">
        <v>0.009</v>
      </c>
      <c r="M87" s="8">
        <v>0.009</v>
      </c>
      <c r="N87" s="43">
        <v>0.009</v>
      </c>
      <c r="O87" s="8">
        <f t="shared" ref="O87:Z87" si="64">N87</f>
        <v>0.009</v>
      </c>
      <c r="P87" s="8">
        <f t="shared" si="64"/>
        <v>0.009</v>
      </c>
      <c r="Q87" s="8">
        <f t="shared" si="64"/>
        <v>0.009</v>
      </c>
      <c r="R87" s="8">
        <f t="shared" si="64"/>
        <v>0.009</v>
      </c>
      <c r="S87" s="8">
        <f t="shared" si="64"/>
        <v>0.009</v>
      </c>
      <c r="T87" s="8">
        <f t="shared" si="64"/>
        <v>0.009</v>
      </c>
      <c r="U87" s="8">
        <f t="shared" si="64"/>
        <v>0.009</v>
      </c>
      <c r="V87" s="8">
        <f t="shared" si="64"/>
        <v>0.009</v>
      </c>
      <c r="W87" s="8">
        <f t="shared" si="64"/>
        <v>0.009</v>
      </c>
      <c r="X87" s="8">
        <f t="shared" si="64"/>
        <v>0.009</v>
      </c>
      <c r="Y87" s="8">
        <f t="shared" si="64"/>
        <v>0.009</v>
      </c>
      <c r="Z87" s="8">
        <f t="shared" si="64"/>
        <v>0.009</v>
      </c>
    </row>
    <row r="88" ht="11.25" customHeight="1">
      <c r="A88" s="5"/>
      <c r="B88" s="6" t="str">
        <f t="shared" si="45"/>
        <v>REBUTS</v>
      </c>
      <c r="C88" s="43">
        <v>0.0</v>
      </c>
      <c r="D88" s="9">
        <v>0.0</v>
      </c>
      <c r="E88" s="9">
        <v>0.0</v>
      </c>
      <c r="F88" s="9">
        <v>0.0</v>
      </c>
      <c r="G88" s="9">
        <v>0.0</v>
      </c>
      <c r="H88" s="9">
        <v>0.0</v>
      </c>
      <c r="I88" s="9">
        <v>0.0</v>
      </c>
      <c r="J88" s="9">
        <v>0.0</v>
      </c>
      <c r="K88" s="9">
        <v>0.0</v>
      </c>
      <c r="L88" s="9">
        <v>0.0</v>
      </c>
      <c r="M88" s="9">
        <v>0.0</v>
      </c>
      <c r="N88" s="44">
        <v>0.0</v>
      </c>
      <c r="O88" s="9">
        <f t="shared" ref="O88:Z88" si="65">N88</f>
        <v>0</v>
      </c>
      <c r="P88" s="9">
        <f t="shared" si="65"/>
        <v>0</v>
      </c>
      <c r="Q88" s="9">
        <f t="shared" si="65"/>
        <v>0</v>
      </c>
      <c r="R88" s="9">
        <f t="shared" si="65"/>
        <v>0</v>
      </c>
      <c r="S88" s="9">
        <f t="shared" si="65"/>
        <v>0</v>
      </c>
      <c r="T88" s="9">
        <f t="shared" si="65"/>
        <v>0</v>
      </c>
      <c r="U88" s="9">
        <f t="shared" si="65"/>
        <v>0</v>
      </c>
      <c r="V88" s="9">
        <f t="shared" si="65"/>
        <v>0</v>
      </c>
      <c r="W88" s="9">
        <f t="shared" si="65"/>
        <v>0</v>
      </c>
      <c r="X88" s="9">
        <f t="shared" si="65"/>
        <v>0</v>
      </c>
      <c r="Y88" s="9">
        <f t="shared" si="65"/>
        <v>0</v>
      </c>
      <c r="Z88" s="9">
        <f t="shared" si="65"/>
        <v>0</v>
      </c>
    </row>
    <row r="89" ht="11.25" customHeight="1">
      <c r="A89" s="5"/>
      <c r="B89" s="6" t="str">
        <f t="shared" si="45"/>
        <v>RETOUCHES</v>
      </c>
      <c r="C89" s="43">
        <v>0.0</v>
      </c>
      <c r="D89" s="9">
        <v>0.0</v>
      </c>
      <c r="E89" s="9">
        <v>0.0</v>
      </c>
      <c r="F89" s="9">
        <v>0.0</v>
      </c>
      <c r="G89" s="9">
        <v>0.0</v>
      </c>
      <c r="H89" s="9">
        <v>0.0</v>
      </c>
      <c r="I89" s="9">
        <v>0.0</v>
      </c>
      <c r="J89" s="9">
        <v>0.0</v>
      </c>
      <c r="K89" s="9">
        <v>0.0</v>
      </c>
      <c r="L89" s="9">
        <v>0.0</v>
      </c>
      <c r="M89" s="9">
        <v>0.0</v>
      </c>
      <c r="N89" s="44">
        <v>0.0</v>
      </c>
      <c r="O89" s="9">
        <f t="shared" ref="O89:Z89" si="66">N89</f>
        <v>0</v>
      </c>
      <c r="P89" s="9">
        <f t="shared" si="66"/>
        <v>0</v>
      </c>
      <c r="Q89" s="9">
        <f t="shared" si="66"/>
        <v>0</v>
      </c>
      <c r="R89" s="9">
        <f t="shared" si="66"/>
        <v>0</v>
      </c>
      <c r="S89" s="9">
        <f t="shared" si="66"/>
        <v>0</v>
      </c>
      <c r="T89" s="9">
        <f t="shared" si="66"/>
        <v>0</v>
      </c>
      <c r="U89" s="9">
        <f t="shared" si="66"/>
        <v>0</v>
      </c>
      <c r="V89" s="9">
        <f t="shared" si="66"/>
        <v>0</v>
      </c>
      <c r="W89" s="9">
        <f t="shared" si="66"/>
        <v>0</v>
      </c>
      <c r="X89" s="9">
        <f t="shared" si="66"/>
        <v>0</v>
      </c>
      <c r="Y89" s="9">
        <f t="shared" si="66"/>
        <v>0</v>
      </c>
      <c r="Z89" s="9">
        <f t="shared" si="66"/>
        <v>0</v>
      </c>
    </row>
    <row r="90" ht="12.0" customHeight="1">
      <c r="A90" s="5"/>
      <c r="B90" s="6" t="str">
        <f t="shared" si="45"/>
        <v>PERTES CYCLE</v>
      </c>
      <c r="C90" s="46">
        <v>0.021</v>
      </c>
      <c r="D90" s="10">
        <v>0.021</v>
      </c>
      <c r="E90" s="10">
        <v>0.021</v>
      </c>
      <c r="F90" s="10">
        <v>0.021</v>
      </c>
      <c r="G90" s="10">
        <v>0.021</v>
      </c>
      <c r="H90" s="10">
        <v>0.021</v>
      </c>
      <c r="I90" s="10">
        <v>0.021</v>
      </c>
      <c r="J90" s="10">
        <v>0.021</v>
      </c>
      <c r="K90" s="10">
        <v>0.021</v>
      </c>
      <c r="L90" s="10">
        <v>0.021</v>
      </c>
      <c r="M90" s="10">
        <v>0.021</v>
      </c>
      <c r="N90" s="46">
        <v>0.021</v>
      </c>
      <c r="O90" s="10">
        <f t="shared" ref="O90:Z90" si="67">N90</f>
        <v>0.021</v>
      </c>
      <c r="P90" s="10">
        <f t="shared" si="67"/>
        <v>0.021</v>
      </c>
      <c r="Q90" s="10">
        <f t="shared" si="67"/>
        <v>0.021</v>
      </c>
      <c r="R90" s="10">
        <f t="shared" si="67"/>
        <v>0.021</v>
      </c>
      <c r="S90" s="10">
        <f t="shared" si="67"/>
        <v>0.021</v>
      </c>
      <c r="T90" s="10">
        <f t="shared" si="67"/>
        <v>0.021</v>
      </c>
      <c r="U90" s="10">
        <f t="shared" si="67"/>
        <v>0.021</v>
      </c>
      <c r="V90" s="10">
        <f t="shared" si="67"/>
        <v>0.021</v>
      </c>
      <c r="W90" s="10">
        <f t="shared" si="67"/>
        <v>0.021</v>
      </c>
      <c r="X90" s="10">
        <f t="shared" si="67"/>
        <v>0.021</v>
      </c>
      <c r="Y90" s="10">
        <f t="shared" si="67"/>
        <v>0.021</v>
      </c>
      <c r="Z90" s="10">
        <f t="shared" si="67"/>
        <v>0.021</v>
      </c>
    </row>
    <row r="91" ht="13.5" customHeight="1">
      <c r="A91" s="5"/>
      <c r="B91" s="2" t="s">
        <v>1</v>
      </c>
      <c r="C91" s="11">
        <f t="shared" ref="C91:Z91" si="68">SUM(C68:C90)</f>
        <v>0.25</v>
      </c>
      <c r="D91" s="12">
        <f t="shared" si="68"/>
        <v>0.25</v>
      </c>
      <c r="E91" s="12">
        <f t="shared" si="68"/>
        <v>0.25</v>
      </c>
      <c r="F91" s="12">
        <f t="shared" si="68"/>
        <v>0.25</v>
      </c>
      <c r="G91" s="12">
        <f t="shared" si="68"/>
        <v>0.25</v>
      </c>
      <c r="H91" s="12">
        <f t="shared" si="68"/>
        <v>0.25</v>
      </c>
      <c r="I91" s="12">
        <f t="shared" si="68"/>
        <v>0.25</v>
      </c>
      <c r="J91" s="12">
        <f t="shared" si="68"/>
        <v>0.25</v>
      </c>
      <c r="K91" s="12">
        <f t="shared" si="68"/>
        <v>0.25</v>
      </c>
      <c r="L91" s="12">
        <f t="shared" si="68"/>
        <v>0.25</v>
      </c>
      <c r="M91" s="12">
        <f t="shared" si="68"/>
        <v>0.25</v>
      </c>
      <c r="N91" s="47">
        <f t="shared" si="68"/>
        <v>0.25</v>
      </c>
      <c r="O91" s="11">
        <f t="shared" si="68"/>
        <v>0.25</v>
      </c>
      <c r="P91" s="12">
        <f t="shared" si="68"/>
        <v>0.25</v>
      </c>
      <c r="Q91" s="12">
        <f t="shared" si="68"/>
        <v>0.25</v>
      </c>
      <c r="R91" s="12">
        <f t="shared" si="68"/>
        <v>0.25</v>
      </c>
      <c r="S91" s="12">
        <f t="shared" si="68"/>
        <v>0.25</v>
      </c>
      <c r="T91" s="12">
        <f t="shared" si="68"/>
        <v>0.25</v>
      </c>
      <c r="U91" s="12">
        <f t="shared" si="68"/>
        <v>0.25</v>
      </c>
      <c r="V91" s="12">
        <f t="shared" si="68"/>
        <v>0.25</v>
      </c>
      <c r="W91" s="12">
        <f t="shared" si="68"/>
        <v>0.25</v>
      </c>
      <c r="X91" s="12">
        <f t="shared" si="68"/>
        <v>0.25</v>
      </c>
      <c r="Y91" s="12">
        <f t="shared" si="68"/>
        <v>0.25</v>
      </c>
      <c r="Z91" s="47">
        <f t="shared" si="68"/>
        <v>0.25</v>
      </c>
    </row>
    <row r="92" ht="8.25" customHeight="1">
      <c r="A92" s="5"/>
      <c r="B92" s="13" t="str">
        <f t="shared" ref="B92:B97" si="70">B59</f>
        <v>ARRETS MACHINES</v>
      </c>
      <c r="C92" s="14">
        <f t="shared" ref="C92:Z92" si="69">SUM(C68:C70)</f>
        <v>0.038</v>
      </c>
      <c r="D92" s="15">
        <f t="shared" si="69"/>
        <v>0.038</v>
      </c>
      <c r="E92" s="15">
        <f t="shared" si="69"/>
        <v>0.038</v>
      </c>
      <c r="F92" s="15">
        <f t="shared" si="69"/>
        <v>0.038</v>
      </c>
      <c r="G92" s="15">
        <f t="shared" si="69"/>
        <v>0.038</v>
      </c>
      <c r="H92" s="15">
        <f t="shared" si="69"/>
        <v>0.038</v>
      </c>
      <c r="I92" s="15">
        <f t="shared" si="69"/>
        <v>0.038</v>
      </c>
      <c r="J92" s="15">
        <f t="shared" si="69"/>
        <v>0.038</v>
      </c>
      <c r="K92" s="15">
        <f t="shared" si="69"/>
        <v>0.038</v>
      </c>
      <c r="L92" s="15">
        <f t="shared" si="69"/>
        <v>0.038</v>
      </c>
      <c r="M92" s="15">
        <f t="shared" si="69"/>
        <v>0.038</v>
      </c>
      <c r="N92" s="48">
        <f t="shared" si="69"/>
        <v>0.038</v>
      </c>
      <c r="O92" s="14">
        <f t="shared" si="69"/>
        <v>0.038</v>
      </c>
      <c r="P92" s="15">
        <f t="shared" si="69"/>
        <v>0.038</v>
      </c>
      <c r="Q92" s="15">
        <f t="shared" si="69"/>
        <v>0.038</v>
      </c>
      <c r="R92" s="15">
        <f t="shared" si="69"/>
        <v>0.038</v>
      </c>
      <c r="S92" s="15">
        <f t="shared" si="69"/>
        <v>0.038</v>
      </c>
      <c r="T92" s="15">
        <f t="shared" si="69"/>
        <v>0.038</v>
      </c>
      <c r="U92" s="15">
        <f t="shared" si="69"/>
        <v>0.038</v>
      </c>
      <c r="V92" s="15">
        <f t="shared" si="69"/>
        <v>0.038</v>
      </c>
      <c r="W92" s="15">
        <f t="shared" si="69"/>
        <v>0.038</v>
      </c>
      <c r="X92" s="15">
        <f t="shared" si="69"/>
        <v>0.038</v>
      </c>
      <c r="Y92" s="15">
        <f t="shared" si="69"/>
        <v>0.038</v>
      </c>
      <c r="Z92" s="48">
        <f t="shared" si="69"/>
        <v>0.038</v>
      </c>
    </row>
    <row r="93" ht="8.25" customHeight="1">
      <c r="A93" s="5"/>
      <c r="B93" s="13" t="str">
        <f t="shared" si="70"/>
        <v>ARRETS OUTILS</v>
      </c>
      <c r="C93" s="16">
        <f t="shared" ref="C93:Z93" si="71">SUM(C71:C73)</f>
        <v>0.003</v>
      </c>
      <c r="D93" s="17">
        <f t="shared" si="71"/>
        <v>0.003</v>
      </c>
      <c r="E93" s="17">
        <f t="shared" si="71"/>
        <v>0.003</v>
      </c>
      <c r="F93" s="17">
        <f t="shared" si="71"/>
        <v>0.003</v>
      </c>
      <c r="G93" s="17">
        <f t="shared" si="71"/>
        <v>0.003</v>
      </c>
      <c r="H93" s="17">
        <f t="shared" si="71"/>
        <v>0.003</v>
      </c>
      <c r="I93" s="17">
        <f t="shared" si="71"/>
        <v>0.003</v>
      </c>
      <c r="J93" s="17">
        <f t="shared" si="71"/>
        <v>0.003</v>
      </c>
      <c r="K93" s="17">
        <f t="shared" si="71"/>
        <v>0.003</v>
      </c>
      <c r="L93" s="17">
        <f t="shared" si="71"/>
        <v>0.003</v>
      </c>
      <c r="M93" s="17">
        <f t="shared" si="71"/>
        <v>0.003</v>
      </c>
      <c r="N93" s="37">
        <f t="shared" si="71"/>
        <v>0.003</v>
      </c>
      <c r="O93" s="16">
        <f t="shared" si="71"/>
        <v>0.003</v>
      </c>
      <c r="P93" s="17">
        <f t="shared" si="71"/>
        <v>0.003</v>
      </c>
      <c r="Q93" s="17">
        <f t="shared" si="71"/>
        <v>0.003</v>
      </c>
      <c r="R93" s="17">
        <f t="shared" si="71"/>
        <v>0.003</v>
      </c>
      <c r="S93" s="17">
        <f t="shared" si="71"/>
        <v>0.003</v>
      </c>
      <c r="T93" s="17">
        <f t="shared" si="71"/>
        <v>0.003</v>
      </c>
      <c r="U93" s="17">
        <f t="shared" si="71"/>
        <v>0.003</v>
      </c>
      <c r="V93" s="17">
        <f t="shared" si="71"/>
        <v>0.003</v>
      </c>
      <c r="W93" s="17">
        <f t="shared" si="71"/>
        <v>0.003</v>
      </c>
      <c r="X93" s="17">
        <f t="shared" si="71"/>
        <v>0.003</v>
      </c>
      <c r="Y93" s="17">
        <f t="shared" si="71"/>
        <v>0.003</v>
      </c>
      <c r="Z93" s="37">
        <f t="shared" si="71"/>
        <v>0.003</v>
      </c>
    </row>
    <row r="94" ht="8.25" customHeight="1">
      <c r="A94" s="5"/>
      <c r="B94" s="13" t="str">
        <f t="shared" si="70"/>
        <v>ARRETS INDUITS</v>
      </c>
      <c r="C94" s="16">
        <f t="shared" ref="C94:Z94" si="72">SUM(C74:C79)</f>
        <v>0.022</v>
      </c>
      <c r="D94" s="17">
        <f t="shared" si="72"/>
        <v>0.022</v>
      </c>
      <c r="E94" s="17">
        <f t="shared" si="72"/>
        <v>0.022</v>
      </c>
      <c r="F94" s="17">
        <f t="shared" si="72"/>
        <v>0.022</v>
      </c>
      <c r="G94" s="17">
        <f t="shared" si="72"/>
        <v>0.022</v>
      </c>
      <c r="H94" s="17">
        <f t="shared" si="72"/>
        <v>0.022</v>
      </c>
      <c r="I94" s="17">
        <f t="shared" si="72"/>
        <v>0.022</v>
      </c>
      <c r="J94" s="17">
        <f t="shared" si="72"/>
        <v>0.022</v>
      </c>
      <c r="K94" s="17">
        <f t="shared" si="72"/>
        <v>0.022</v>
      </c>
      <c r="L94" s="17">
        <f t="shared" si="72"/>
        <v>0.022</v>
      </c>
      <c r="M94" s="17">
        <f t="shared" si="72"/>
        <v>0.022</v>
      </c>
      <c r="N94" s="37">
        <f t="shared" si="72"/>
        <v>0.022</v>
      </c>
      <c r="O94" s="16">
        <f t="shared" si="72"/>
        <v>0.022</v>
      </c>
      <c r="P94" s="17">
        <f t="shared" si="72"/>
        <v>0.022</v>
      </c>
      <c r="Q94" s="17">
        <f t="shared" si="72"/>
        <v>0.022</v>
      </c>
      <c r="R94" s="17">
        <f t="shared" si="72"/>
        <v>0.022</v>
      </c>
      <c r="S94" s="17">
        <f t="shared" si="72"/>
        <v>0.022</v>
      </c>
      <c r="T94" s="17">
        <f t="shared" si="72"/>
        <v>0.022</v>
      </c>
      <c r="U94" s="17">
        <f t="shared" si="72"/>
        <v>0.022</v>
      </c>
      <c r="V94" s="17">
        <f t="shared" si="72"/>
        <v>0.022</v>
      </c>
      <c r="W94" s="17">
        <f t="shared" si="72"/>
        <v>0.022</v>
      </c>
      <c r="X94" s="17">
        <f t="shared" si="72"/>
        <v>0.022</v>
      </c>
      <c r="Y94" s="17">
        <f t="shared" si="72"/>
        <v>0.022</v>
      </c>
      <c r="Z94" s="37">
        <f t="shared" si="72"/>
        <v>0.022</v>
      </c>
    </row>
    <row r="95" ht="8.25" customHeight="1">
      <c r="A95" s="5"/>
      <c r="B95" s="13" t="str">
        <f t="shared" si="70"/>
        <v>ARRETS FONCTIONNELS</v>
      </c>
      <c r="C95" s="16">
        <f t="shared" ref="C95:Z95" si="73">SUM(C80:C87)</f>
        <v>0.166</v>
      </c>
      <c r="D95" s="17">
        <f t="shared" si="73"/>
        <v>0.166</v>
      </c>
      <c r="E95" s="17">
        <f t="shared" si="73"/>
        <v>0.166</v>
      </c>
      <c r="F95" s="17">
        <f t="shared" si="73"/>
        <v>0.166</v>
      </c>
      <c r="G95" s="17">
        <f t="shared" si="73"/>
        <v>0.166</v>
      </c>
      <c r="H95" s="17">
        <f t="shared" si="73"/>
        <v>0.166</v>
      </c>
      <c r="I95" s="17">
        <f t="shared" si="73"/>
        <v>0.166</v>
      </c>
      <c r="J95" s="17">
        <f t="shared" si="73"/>
        <v>0.166</v>
      </c>
      <c r="K95" s="17">
        <f t="shared" si="73"/>
        <v>0.166</v>
      </c>
      <c r="L95" s="17">
        <f t="shared" si="73"/>
        <v>0.166</v>
      </c>
      <c r="M95" s="17">
        <f t="shared" si="73"/>
        <v>0.166</v>
      </c>
      <c r="N95" s="37">
        <f t="shared" si="73"/>
        <v>0.166</v>
      </c>
      <c r="O95" s="16">
        <f t="shared" si="73"/>
        <v>0.166</v>
      </c>
      <c r="P95" s="17">
        <f t="shared" si="73"/>
        <v>0.166</v>
      </c>
      <c r="Q95" s="17">
        <f t="shared" si="73"/>
        <v>0.166</v>
      </c>
      <c r="R95" s="17">
        <f t="shared" si="73"/>
        <v>0.166</v>
      </c>
      <c r="S95" s="17">
        <f t="shared" si="73"/>
        <v>0.166</v>
      </c>
      <c r="T95" s="17">
        <f t="shared" si="73"/>
        <v>0.166</v>
      </c>
      <c r="U95" s="17">
        <f t="shared" si="73"/>
        <v>0.166</v>
      </c>
      <c r="V95" s="17">
        <f t="shared" si="73"/>
        <v>0.166</v>
      </c>
      <c r="W95" s="17">
        <f t="shared" si="73"/>
        <v>0.166</v>
      </c>
      <c r="X95" s="17">
        <f t="shared" si="73"/>
        <v>0.166</v>
      </c>
      <c r="Y95" s="17">
        <f t="shared" si="73"/>
        <v>0.166</v>
      </c>
      <c r="Z95" s="37">
        <f t="shared" si="73"/>
        <v>0.166</v>
      </c>
    </row>
    <row r="96" ht="8.25" customHeight="1">
      <c r="A96" s="5"/>
      <c r="B96" s="13" t="str">
        <f t="shared" si="70"/>
        <v>PERTES QUALITE</v>
      </c>
      <c r="C96" s="16">
        <f t="shared" ref="C96:Z96" si="74">SUM(C88:C89)</f>
        <v>0</v>
      </c>
      <c r="D96" s="17">
        <f t="shared" si="74"/>
        <v>0</v>
      </c>
      <c r="E96" s="17">
        <f t="shared" si="74"/>
        <v>0</v>
      </c>
      <c r="F96" s="17">
        <f t="shared" si="74"/>
        <v>0</v>
      </c>
      <c r="G96" s="17">
        <f t="shared" si="74"/>
        <v>0</v>
      </c>
      <c r="H96" s="17">
        <f t="shared" si="74"/>
        <v>0</v>
      </c>
      <c r="I96" s="17">
        <f t="shared" si="74"/>
        <v>0</v>
      </c>
      <c r="J96" s="17">
        <f t="shared" si="74"/>
        <v>0</v>
      </c>
      <c r="K96" s="17">
        <f t="shared" si="74"/>
        <v>0</v>
      </c>
      <c r="L96" s="17">
        <f t="shared" si="74"/>
        <v>0</v>
      </c>
      <c r="M96" s="17">
        <f t="shared" si="74"/>
        <v>0</v>
      </c>
      <c r="N96" s="37">
        <f t="shared" si="74"/>
        <v>0</v>
      </c>
      <c r="O96" s="16">
        <f t="shared" si="74"/>
        <v>0</v>
      </c>
      <c r="P96" s="17">
        <f t="shared" si="74"/>
        <v>0</v>
      </c>
      <c r="Q96" s="17">
        <f t="shared" si="74"/>
        <v>0</v>
      </c>
      <c r="R96" s="17">
        <f t="shared" si="74"/>
        <v>0</v>
      </c>
      <c r="S96" s="17">
        <f t="shared" si="74"/>
        <v>0</v>
      </c>
      <c r="T96" s="17">
        <f t="shared" si="74"/>
        <v>0</v>
      </c>
      <c r="U96" s="17">
        <f t="shared" si="74"/>
        <v>0</v>
      </c>
      <c r="V96" s="17">
        <f t="shared" si="74"/>
        <v>0</v>
      </c>
      <c r="W96" s="17">
        <f t="shared" si="74"/>
        <v>0</v>
      </c>
      <c r="X96" s="17">
        <f t="shared" si="74"/>
        <v>0</v>
      </c>
      <c r="Y96" s="17">
        <f t="shared" si="74"/>
        <v>0</v>
      </c>
      <c r="Z96" s="37">
        <f t="shared" si="74"/>
        <v>0</v>
      </c>
    </row>
    <row r="97" ht="9.0" customHeight="1">
      <c r="A97" s="5"/>
      <c r="B97" s="13" t="str">
        <f t="shared" si="70"/>
        <v>PERTES CYCLE</v>
      </c>
      <c r="C97" s="18">
        <f t="shared" ref="C97:Z97" si="75">C90</f>
        <v>0.021</v>
      </c>
      <c r="D97" s="19">
        <f t="shared" si="75"/>
        <v>0.021</v>
      </c>
      <c r="E97" s="19">
        <f t="shared" si="75"/>
        <v>0.021</v>
      </c>
      <c r="F97" s="19">
        <f t="shared" si="75"/>
        <v>0.021</v>
      </c>
      <c r="G97" s="19">
        <f t="shared" si="75"/>
        <v>0.021</v>
      </c>
      <c r="H97" s="19">
        <f t="shared" si="75"/>
        <v>0.021</v>
      </c>
      <c r="I97" s="19">
        <f t="shared" si="75"/>
        <v>0.021</v>
      </c>
      <c r="J97" s="19">
        <f t="shared" si="75"/>
        <v>0.021</v>
      </c>
      <c r="K97" s="19">
        <f t="shared" si="75"/>
        <v>0.021</v>
      </c>
      <c r="L97" s="19">
        <f t="shared" si="75"/>
        <v>0.021</v>
      </c>
      <c r="M97" s="19">
        <f t="shared" si="75"/>
        <v>0.021</v>
      </c>
      <c r="N97" s="49">
        <f t="shared" si="75"/>
        <v>0.021</v>
      </c>
      <c r="O97" s="18">
        <f t="shared" si="75"/>
        <v>0.021</v>
      </c>
      <c r="P97" s="19">
        <f t="shared" si="75"/>
        <v>0.021</v>
      </c>
      <c r="Q97" s="19">
        <f t="shared" si="75"/>
        <v>0.021</v>
      </c>
      <c r="R97" s="19">
        <f t="shared" si="75"/>
        <v>0.021</v>
      </c>
      <c r="S97" s="19">
        <f t="shared" si="75"/>
        <v>0.021</v>
      </c>
      <c r="T97" s="19">
        <f t="shared" si="75"/>
        <v>0.021</v>
      </c>
      <c r="U97" s="19">
        <f t="shared" si="75"/>
        <v>0.021</v>
      </c>
      <c r="V97" s="19">
        <f t="shared" si="75"/>
        <v>0.021</v>
      </c>
      <c r="W97" s="19">
        <f t="shared" si="75"/>
        <v>0.021</v>
      </c>
      <c r="X97" s="19">
        <f t="shared" si="75"/>
        <v>0.021</v>
      </c>
      <c r="Y97" s="19">
        <f t="shared" si="75"/>
        <v>0.021</v>
      </c>
      <c r="Z97" s="49">
        <f t="shared" si="75"/>
        <v>0.021</v>
      </c>
    </row>
    <row r="98" ht="13.5" customHeight="1">
      <c r="A98" s="20"/>
      <c r="B98" s="2" t="s">
        <v>2</v>
      </c>
      <c r="C98" s="21">
        <f t="shared" ref="C98:Z98" si="76">100%-C91</f>
        <v>0.75</v>
      </c>
      <c r="D98" s="22">
        <f t="shared" si="76"/>
        <v>0.75</v>
      </c>
      <c r="E98" s="22">
        <f t="shared" si="76"/>
        <v>0.75</v>
      </c>
      <c r="F98" s="22">
        <f t="shared" si="76"/>
        <v>0.75</v>
      </c>
      <c r="G98" s="22">
        <f t="shared" si="76"/>
        <v>0.75</v>
      </c>
      <c r="H98" s="22">
        <f t="shared" si="76"/>
        <v>0.75</v>
      </c>
      <c r="I98" s="22">
        <f t="shared" si="76"/>
        <v>0.75</v>
      </c>
      <c r="J98" s="22">
        <f t="shared" si="76"/>
        <v>0.75</v>
      </c>
      <c r="K98" s="22">
        <f t="shared" si="76"/>
        <v>0.75</v>
      </c>
      <c r="L98" s="22">
        <f t="shared" si="76"/>
        <v>0.75</v>
      </c>
      <c r="M98" s="22">
        <f t="shared" si="76"/>
        <v>0.75</v>
      </c>
      <c r="N98" s="41">
        <f t="shared" si="76"/>
        <v>0.75</v>
      </c>
      <c r="O98" s="21">
        <f t="shared" si="76"/>
        <v>0.75</v>
      </c>
      <c r="P98" s="22">
        <f t="shared" si="76"/>
        <v>0.75</v>
      </c>
      <c r="Q98" s="22">
        <f t="shared" si="76"/>
        <v>0.75</v>
      </c>
      <c r="R98" s="22">
        <f t="shared" si="76"/>
        <v>0.75</v>
      </c>
      <c r="S98" s="22">
        <f t="shared" si="76"/>
        <v>0.75</v>
      </c>
      <c r="T98" s="22">
        <f t="shared" si="76"/>
        <v>0.75</v>
      </c>
      <c r="U98" s="22">
        <f t="shared" si="76"/>
        <v>0.75</v>
      </c>
      <c r="V98" s="22">
        <f t="shared" si="76"/>
        <v>0.75</v>
      </c>
      <c r="W98" s="22">
        <f t="shared" si="76"/>
        <v>0.75</v>
      </c>
      <c r="X98" s="22">
        <f t="shared" si="76"/>
        <v>0.75</v>
      </c>
      <c r="Y98" s="22">
        <f t="shared" si="76"/>
        <v>0.75</v>
      </c>
      <c r="Z98" s="41">
        <f t="shared" si="76"/>
        <v>0.75</v>
      </c>
    </row>
    <row r="99" ht="8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8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8.25" customHeight="1">
      <c r="A101" s="23"/>
      <c r="B101" s="23"/>
      <c r="C101" s="23"/>
      <c r="D101" s="50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8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8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8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8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8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8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8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8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8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8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8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8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8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8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8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8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8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8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8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8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8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8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8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8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8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8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8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8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8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8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8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8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8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8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8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8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8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8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8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8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8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8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8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8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8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8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8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8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8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8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8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8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8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8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8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8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8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8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8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8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8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8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8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8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8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8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8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8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8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8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8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8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8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8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8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8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8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8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8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8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8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8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8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8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8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8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8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8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8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8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8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8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8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8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8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8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8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8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8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8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8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8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8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8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8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8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8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8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8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8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8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8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8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8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8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8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8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8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8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8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8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8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8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8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8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8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8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8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8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8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8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8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8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8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8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8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8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8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8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8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8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8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8.2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8.2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8.2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8.2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8.2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8.2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8.2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8.2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8.2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8.2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8.2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8.2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8.2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8.2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8.2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8.2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8.2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8.2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8.2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8.2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8.2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8.2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8.2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8.2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8.2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8.2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8.2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8.2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8.2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8.2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8.2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8.2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8.2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8.2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8.2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8.2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8.2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8.2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8.2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8.2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8.2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8.2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8.2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8.2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8.2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8.2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8.2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8.2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8.2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8.2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8.2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8.2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8.2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8.2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8.2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8.2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8.2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8.2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8.2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8.2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8.2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8.2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8.2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8.2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8.2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8.2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8.2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8.2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8.2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8.2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8.2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8.2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8.2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8.2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8.2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8.2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8.2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8.2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8.2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8.2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8.2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8.2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8.2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8.2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8.2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8.2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8.2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8.2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8.2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8.2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8.2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8.2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8.2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8.2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8.2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8.2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8.2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8.2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8.2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8.2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8.2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8.2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8.2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8.2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8.2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8.2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8.2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8.2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8.2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8.2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8.2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8.2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8.2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8.2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8.2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8.2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8.2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8.2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8.2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8.2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8.2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8.2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8.2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8.2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8.2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8.2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8.2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8.2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8.2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8.2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8.2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8.2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8.2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8.2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8.2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8.2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8.2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8.2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8.2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8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8.2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8.2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8.2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8.2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8.2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8.2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8.2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8.2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8.2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8.2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8.2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8.2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8.2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8.2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8.2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8.2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8.2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8.2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8.2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8.2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8.2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8.2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8.2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8.2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8.2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8.2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8.2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8.2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8.2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8.2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8.2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8.2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8.2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8.2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8.2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8.2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8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8.2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8.2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8.2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8.2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8.2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8.2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8.2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8.2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8.2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8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8.2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8.2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8.2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8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8.2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8.2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8.2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8.2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8.2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8.2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8.2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8.2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8.2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8.2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8.2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8.2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8.2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8.2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8.2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8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8.2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8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8.2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8.2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8.2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8.2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8.2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8.2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8.2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8.2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8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8.2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8.2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8.2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8.2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8.2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8.2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8.2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8.2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8.2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8.2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8.2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8.2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8.2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8.2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8.2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8.2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8.2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8.2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8.2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8.2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8.2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8.2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8.2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8.2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8.2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8.2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8.2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8.2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8.2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8.2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8.2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8.2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8.2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8.2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8.2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8.2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8.2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8.2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8.2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8.2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8.2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8.2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8.2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8.2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8.2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8.2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8.2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8.2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8.2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8.2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8.2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8.2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8.2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8.2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8.2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8.2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8.2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8.2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8.2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8.2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8.2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8.2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8.2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8.2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8.2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8.2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8.2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8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8.2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8.2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8.2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8.2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8.2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8.2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8.2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8.2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8.2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8.2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8.2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8.2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8.2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8.2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8.2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8.2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8.2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8.2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8.2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8.2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8.2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8.2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8.2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8.2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8.2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8.2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8.2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8.2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8.2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8.2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8.2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8.2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8.2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8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8.2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8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8.2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8.2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8.2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8.2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8.2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8.2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8.2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8.2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8.2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8.2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8.2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8.2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8.2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8.2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8.2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8.2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8.2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8.2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8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8.2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8.2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8.2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8.2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8.2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8.2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8.2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8.2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8.2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8.2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8.2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8.2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8.2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8.2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8.2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8.2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8.2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8.2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8.2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8.2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8.2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8.2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8.2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8.2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8.2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8.2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8.2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8.2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8.2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8.2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8.2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8.2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8.2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8.2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8.2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8.2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8.2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8.2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8.2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8.2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8.2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8.2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8.2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8.2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8.2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8.2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8.2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8.2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8.2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8.2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8.2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8.2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8.2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8.2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8.2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8.2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8.2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8.2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8.2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8.2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8.2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8.2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8.2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8.2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8.2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8.2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8.2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8.2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8.2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8.2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8.2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8.2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8.2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8.2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8.2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8.2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8.2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8.2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8.2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8.2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8.2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8.2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8.2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8.2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8.2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8.2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8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8.2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8.2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8.2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8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8.2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8.2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8.2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8.2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8.2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8.2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8.2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8.2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8.2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8.2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8.2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8.2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8.2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8.2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8.2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8.2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8.2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8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8.2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8.2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8.2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8.2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8.2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8.2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8.2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8.2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8.2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8.2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8.2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8.2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8.2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8.2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8.2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8.2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8.2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8.2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8.2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8.2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8.2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8.2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8.2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8.2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8.2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8.2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8.2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8.2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8.2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8.2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8.2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8.2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8.2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8.2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8.2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8.2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8.2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8.2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8.2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8.2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8.2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8.2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8.2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8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8.2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8.2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8.2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8.2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8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8.2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8.2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8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8.2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8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8.2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8.2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8.2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8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8.2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8.2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8.2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8.2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8.2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8.2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8.2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8.2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8.2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8.2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8.2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8.2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8.2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8.2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8.2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8.2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8.2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8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8.2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8.2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8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8.2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8.2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8.2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8.2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8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8.2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8.2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8.2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8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8.2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8.2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8.2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8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8.2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8.2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8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8.2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8.2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8.2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8.2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8.2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8.2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8.2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8.2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8.2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8.2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8.2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8.2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8.2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8.2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8.2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8.2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8.2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8.2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8.2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8.2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8.2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8.2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8.2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8.2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8.2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8.2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8.2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8.2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8.2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8.2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8.2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8.2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8.2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8.2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8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8.2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8.2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8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8.2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8.2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8.2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8.2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8.2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8.2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8.2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8.2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8.2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8.2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8.2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8.2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8.2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8.2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8.2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8.2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8.2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8.2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8.2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8.2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8.2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8.2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8.2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8.2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8.2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8.2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8.2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8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8.2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8.2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8.2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8.2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8.2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8.2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8.2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8.2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8.2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8.2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8.2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8.2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8.2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8.2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8.2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8.2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8.2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8.2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8.2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8.2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8.2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8.2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8.2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8.2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8.2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8.2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8.2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8.2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8.2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8.2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8.2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8.2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8.2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8.2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8.2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8.2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8.2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8.2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8.2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8.2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8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8.2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8.2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8.2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8.2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8.2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8.2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8.2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8.2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8.2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8.2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8.2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8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8.2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8.2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8.2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8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8.2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8.2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8.2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8.2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8.2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8.2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8.2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8.2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8.2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8.2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8.2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8.2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8.2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8.2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8.2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8.2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8.2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8.2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8.2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8.2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8.2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8.2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8.2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8.2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8.2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8.2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8.2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8.2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8.2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8.2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8.2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8.2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8.2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8.2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8.2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8.2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8.2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8.2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8.2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8.2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8.2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8.2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8.2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8.2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8.2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8.2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8.2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8.2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8.2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8.2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8.2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8.2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8.2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8.2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8.2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8.2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8.2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8.2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8.2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8.2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8.2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8.2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8.2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8.2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8.2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8.2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8.2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8.2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8.2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8.2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8.2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8.2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8.2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8.2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8.2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8.2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8.2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8.2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8.2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8.2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8.2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8.2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8.2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8.2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8.2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8.2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8.2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8.2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8.2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3">
    <mergeCell ref="A1:A32"/>
    <mergeCell ref="A34:A65"/>
    <mergeCell ref="A67:A98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65.29"/>
    <col customWidth="1" min="3" max="3" width="4.71"/>
    <col customWidth="1" min="4" max="4" width="12.0"/>
    <col customWidth="1" min="5" max="5" width="7.43"/>
    <col customWidth="1" min="6" max="6" width="9.29"/>
    <col customWidth="1" min="7" max="7" width="15.0"/>
    <col customWidth="1" min="8" max="8" width="5.86"/>
    <col customWidth="1" min="9" max="9" width="4.86"/>
    <col customWidth="1" min="10" max="10" width="20.86"/>
    <col customWidth="1" min="11" max="11" width="6.86"/>
    <col customWidth="1" min="12" max="26" width="11.43"/>
  </cols>
  <sheetData>
    <row r="1" ht="24.75" customHeight="1">
      <c r="A1" s="51" t="s">
        <v>5</v>
      </c>
      <c r="B1" s="52"/>
      <c r="C1" s="52"/>
      <c r="D1" s="52"/>
      <c r="E1" s="52"/>
      <c r="F1" s="52"/>
      <c r="G1" s="53">
        <v>44203.0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12.7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2.75" customHeigh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2.75" customHeight="1">
      <c r="A4" s="54" t="s">
        <v>6</v>
      </c>
      <c r="B4" s="54" t="s">
        <v>7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2.75" customHeight="1">
      <c r="A5" s="52"/>
      <c r="B5" s="52"/>
      <c r="C5" s="52"/>
      <c r="D5" s="52"/>
      <c r="E5" s="55" t="s">
        <v>8</v>
      </c>
      <c r="F5" s="55" t="s">
        <v>9</v>
      </c>
      <c r="G5" s="55" t="s">
        <v>10</v>
      </c>
      <c r="H5" s="52"/>
      <c r="I5" s="52"/>
      <c r="J5" s="56" t="s">
        <v>11</v>
      </c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2.75" customHeight="1">
      <c r="A6" s="52" t="s">
        <v>12</v>
      </c>
      <c r="B6" s="57" t="s">
        <v>13</v>
      </c>
      <c r="C6" s="52"/>
      <c r="D6" s="55" t="s">
        <v>14</v>
      </c>
      <c r="E6" s="58" t="s">
        <v>0</v>
      </c>
      <c r="F6" s="58" t="s">
        <v>15</v>
      </c>
      <c r="G6" s="55">
        <f>INT(MATCH(E6,Objectifs!A:A,0)/$G$28)+1</f>
        <v>1</v>
      </c>
      <c r="H6" s="52"/>
      <c r="I6" s="59" t="s">
        <v>16</v>
      </c>
      <c r="J6" s="56" t="s">
        <v>17</v>
      </c>
      <c r="K6" s="52" t="s">
        <v>18</v>
      </c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2.75" customHeight="1">
      <c r="A7" s="52" t="s">
        <v>19</v>
      </c>
      <c r="B7" s="60"/>
      <c r="C7" s="52"/>
      <c r="D7" s="55" t="s">
        <v>20</v>
      </c>
      <c r="E7" s="58" t="s">
        <v>21</v>
      </c>
      <c r="F7" s="58" t="s">
        <v>22</v>
      </c>
      <c r="G7" s="55" t="str">
        <f>INT(MATCH(E7,Objectifs!A:A,0)/$G$28)+1</f>
        <v>#N/A</v>
      </c>
      <c r="H7" s="52"/>
      <c r="I7" s="61"/>
      <c r="J7" s="56" t="s">
        <v>23</v>
      </c>
      <c r="K7" s="52" t="s">
        <v>18</v>
      </c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2.75" customHeight="1">
      <c r="A8" s="52" t="s">
        <v>24</v>
      </c>
      <c r="B8" s="62">
        <f>IF('Paramétrage'!G1="",TODAY(),G1)</f>
        <v>44203</v>
      </c>
      <c r="C8" s="52"/>
      <c r="D8" s="55" t="s">
        <v>25</v>
      </c>
      <c r="E8" s="58" t="s">
        <v>26</v>
      </c>
      <c r="F8" s="58" t="s">
        <v>27</v>
      </c>
      <c r="G8" s="55" t="str">
        <f>INT(MATCH(E8,Objectifs!A:A,0)/$G$28)+1</f>
        <v>#N/A</v>
      </c>
      <c r="H8" s="52"/>
      <c r="I8" s="61"/>
      <c r="J8" s="56" t="s">
        <v>28</v>
      </c>
      <c r="K8" s="52" t="s">
        <v>18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2.75" customHeight="1">
      <c r="A9" s="52" t="s">
        <v>29</v>
      </c>
      <c r="B9" s="60" t="s">
        <v>30</v>
      </c>
      <c r="C9" s="52"/>
      <c r="D9" s="55" t="s">
        <v>31</v>
      </c>
      <c r="E9" s="58" t="s">
        <v>32</v>
      </c>
      <c r="F9" s="58" t="s">
        <v>33</v>
      </c>
      <c r="G9" s="55" t="str">
        <f>INT(MATCH(E9,Objectifs!A:A,0)/$G$28)+1</f>
        <v>#N/A</v>
      </c>
      <c r="H9" s="52"/>
      <c r="I9" s="61"/>
      <c r="J9" s="56" t="s">
        <v>34</v>
      </c>
      <c r="K9" s="52" t="s">
        <v>18</v>
      </c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12.75" customHeight="1">
      <c r="A10" s="52" t="s">
        <v>35</v>
      </c>
      <c r="B10" s="60" t="s">
        <v>36</v>
      </c>
      <c r="C10" s="52"/>
      <c r="D10" s="55" t="s">
        <v>37</v>
      </c>
      <c r="E10" s="58" t="s">
        <v>4</v>
      </c>
      <c r="F10" s="58" t="s">
        <v>38</v>
      </c>
      <c r="G10" s="55">
        <f>INT(MATCH(E10,Objectifs!A:A,0)/$G$28)+1</f>
        <v>3</v>
      </c>
      <c r="H10" s="52"/>
      <c r="I10" s="61"/>
      <c r="J10" s="56" t="s">
        <v>39</v>
      </c>
      <c r="K10" s="52" t="s">
        <v>18</v>
      </c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12.75" customHeight="1">
      <c r="A11" s="52" t="s">
        <v>40</v>
      </c>
      <c r="B11" s="60" t="s">
        <v>41</v>
      </c>
      <c r="C11" s="52"/>
      <c r="D11" s="55" t="s">
        <v>42</v>
      </c>
      <c r="E11" s="58" t="s">
        <v>3</v>
      </c>
      <c r="F11" s="58" t="s">
        <v>43</v>
      </c>
      <c r="G11" s="55">
        <f>INT(MATCH(E11,Objectifs!A:A,0)/$G$28)+1</f>
        <v>2</v>
      </c>
      <c r="H11" s="52"/>
      <c r="I11" s="61"/>
      <c r="J11" s="56" t="s">
        <v>44</v>
      </c>
      <c r="K11" s="52" t="s">
        <v>18</v>
      </c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12.75" customHeight="1">
      <c r="A12" s="52" t="s">
        <v>45</v>
      </c>
      <c r="B12" s="52" t="str">
        <f>B6&amp;B7</f>
        <v>http://docinfogroupe.inetpsa.com/ead/doc/ref._PSA13_5154/v.vc/[pj]</v>
      </c>
      <c r="C12" s="52"/>
      <c r="D12" s="55" t="s">
        <v>46</v>
      </c>
      <c r="E12" s="58"/>
      <c r="F12" s="58"/>
      <c r="G12" s="55" t="str">
        <f>INT(MATCH(E12,Objectifs!A:A,0)/$G$28)+1</f>
        <v>#N/A</v>
      </c>
      <c r="H12" s="52"/>
      <c r="I12" s="61"/>
      <c r="J12" s="56" t="s">
        <v>47</v>
      </c>
      <c r="K12" s="52" t="s">
        <v>18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2.75" customHeight="1">
      <c r="A13" s="63" t="s">
        <v>48</v>
      </c>
      <c r="B13" s="52" t="s">
        <v>49</v>
      </c>
      <c r="C13" s="52"/>
      <c r="D13" s="55" t="s">
        <v>50</v>
      </c>
      <c r="E13" s="58"/>
      <c r="F13" s="58"/>
      <c r="G13" s="55" t="str">
        <f>INT(MATCH(E13,Objectifs!A:A,0)/$G$28)+1</f>
        <v>#N/A</v>
      </c>
      <c r="H13" s="52"/>
      <c r="I13" s="61"/>
      <c r="J13" s="56" t="s">
        <v>51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2.75" customHeight="1">
      <c r="A14" s="52"/>
      <c r="B14" s="52"/>
      <c r="C14" s="52"/>
      <c r="D14" s="55" t="s">
        <v>52</v>
      </c>
      <c r="E14" s="58"/>
      <c r="F14" s="58"/>
      <c r="G14" s="55" t="str">
        <f>INT(MATCH(E14,Objectifs!A:A,0)/$G$28)+1</f>
        <v>#N/A</v>
      </c>
      <c r="H14" s="52"/>
      <c r="I14" s="61"/>
      <c r="J14" s="56" t="s">
        <v>53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2.75" customHeight="1">
      <c r="A15" s="52"/>
      <c r="B15" s="52"/>
      <c r="C15" s="52"/>
      <c r="D15" s="55" t="s">
        <v>54</v>
      </c>
      <c r="E15" s="58"/>
      <c r="F15" s="58"/>
      <c r="G15" s="55" t="str">
        <f>INT(MATCH(E15,Objectifs!A:A,0)/$G$28)+1</f>
        <v>#N/A</v>
      </c>
      <c r="H15" s="52"/>
      <c r="I15" s="61"/>
      <c r="J15" s="56" t="s">
        <v>55</v>
      </c>
      <c r="K15" s="52" t="s">
        <v>18</v>
      </c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2.75" customHeight="1">
      <c r="A16" s="52" t="s">
        <v>56</v>
      </c>
      <c r="B16" s="52"/>
      <c r="C16" s="52"/>
      <c r="D16" s="55" t="s">
        <v>57</v>
      </c>
      <c r="E16" s="58"/>
      <c r="F16" s="58"/>
      <c r="G16" s="55" t="str">
        <f>INT(MATCH(E16,Objectifs!A:A,0)/$G$28)+1</f>
        <v>#N/A</v>
      </c>
      <c r="H16" s="52"/>
      <c r="I16" s="61"/>
      <c r="J16" s="56" t="s">
        <v>58</v>
      </c>
      <c r="K16" s="52" t="s">
        <v>18</v>
      </c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2.75" customHeight="1">
      <c r="A17" s="52"/>
      <c r="B17" s="52"/>
      <c r="C17" s="52"/>
      <c r="D17" s="55" t="s">
        <v>59</v>
      </c>
      <c r="E17" s="58"/>
      <c r="F17" s="58"/>
      <c r="G17" s="55" t="str">
        <f>INT(MATCH(E17,Objectifs!A:A,0)/$G$28)+1</f>
        <v>#N/A</v>
      </c>
      <c r="H17" s="52"/>
      <c r="I17" s="61"/>
      <c r="J17" s="56" t="s">
        <v>60</v>
      </c>
      <c r="K17" s="52" t="s">
        <v>18</v>
      </c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2.75" customHeight="1">
      <c r="A18" s="64"/>
      <c r="B18" s="52"/>
      <c r="C18" s="52"/>
      <c r="D18" s="55" t="s">
        <v>61</v>
      </c>
      <c r="E18" s="58"/>
      <c r="F18" s="58"/>
      <c r="G18" s="55" t="str">
        <f>INT(MATCH(E18,Objectifs!A:A,0)/$G$28)+1</f>
        <v>#N/A</v>
      </c>
      <c r="H18" s="52"/>
      <c r="I18" s="61"/>
      <c r="J18" s="56" t="s">
        <v>62</v>
      </c>
      <c r="K18" s="52" t="s">
        <v>18</v>
      </c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2.75" customHeight="1">
      <c r="A19" s="52"/>
      <c r="B19" s="52"/>
      <c r="C19" s="52"/>
      <c r="D19" s="55" t="s">
        <v>63</v>
      </c>
      <c r="E19" s="58"/>
      <c r="F19" s="58"/>
      <c r="G19" s="55" t="str">
        <f>INT(MATCH(E19,Objectifs!A:A,0)/$G$28)+1</f>
        <v>#N/A</v>
      </c>
      <c r="H19" s="52"/>
      <c r="I19" s="61"/>
      <c r="J19" s="56" t="s">
        <v>64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2.75" customHeight="1">
      <c r="A20" s="52"/>
      <c r="B20" s="65"/>
      <c r="C20" s="52"/>
      <c r="D20" s="55" t="s">
        <v>65</v>
      </c>
      <c r="E20" s="58"/>
      <c r="F20" s="58"/>
      <c r="G20" s="55" t="str">
        <f>INT(MATCH(E20,Objectifs!A:A,0)/$G$28)+1</f>
        <v>#N/A</v>
      </c>
      <c r="H20" s="52"/>
      <c r="I20" s="61"/>
      <c r="J20" s="56" t="s">
        <v>66</v>
      </c>
      <c r="K20" s="52" t="s">
        <v>18</v>
      </c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2.75" customHeight="1">
      <c r="A21" s="52"/>
      <c r="B21" s="52"/>
      <c r="C21" s="52"/>
      <c r="D21" s="52" t="s">
        <v>67</v>
      </c>
      <c r="E21" s="52"/>
      <c r="F21" s="52"/>
      <c r="G21" s="52"/>
      <c r="H21" s="52"/>
      <c r="I21" s="61"/>
      <c r="J21" s="56" t="s">
        <v>68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2.75" customHeight="1">
      <c r="A22" s="52"/>
      <c r="B22" s="52"/>
      <c r="C22" s="52"/>
      <c r="D22" s="52"/>
      <c r="E22" s="52"/>
      <c r="F22" s="52"/>
      <c r="G22" s="52"/>
      <c r="H22" s="52"/>
      <c r="I22" s="61"/>
      <c r="J22" s="56" t="s">
        <v>69</v>
      </c>
      <c r="K22" s="52" t="s">
        <v>18</v>
      </c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2.75" customHeight="1">
      <c r="A23" s="66"/>
      <c r="B23" s="52"/>
      <c r="C23" s="54" t="s">
        <v>70</v>
      </c>
      <c r="D23" s="52"/>
      <c r="E23" s="52"/>
      <c r="F23" s="52"/>
      <c r="G23" s="52"/>
      <c r="H23" s="52"/>
      <c r="I23" s="61"/>
      <c r="J23" s="56" t="s">
        <v>71</v>
      </c>
      <c r="K23" s="52" t="s">
        <v>18</v>
      </c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2.75" customHeight="1">
      <c r="A24" s="52"/>
      <c r="B24" s="52"/>
      <c r="C24" s="67" t="s">
        <v>72</v>
      </c>
      <c r="D24" s="52" t="s">
        <v>73</v>
      </c>
      <c r="E24" s="52"/>
      <c r="F24" s="52"/>
      <c r="G24" s="52"/>
      <c r="H24" s="52"/>
      <c r="I24" s="61"/>
      <c r="J24" s="56" t="s">
        <v>74</v>
      </c>
      <c r="K24" s="52" t="s">
        <v>18</v>
      </c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2.75" customHeight="1">
      <c r="A25" s="52"/>
      <c r="B25" s="52"/>
      <c r="C25" s="67" t="str">
        <f>TEXT(0,0)</f>
        <v>0</v>
      </c>
      <c r="D25" s="52" t="s">
        <v>75</v>
      </c>
      <c r="E25" s="52"/>
      <c r="F25" s="52"/>
      <c r="G25" s="52"/>
      <c r="H25" s="52"/>
      <c r="I25" s="61"/>
      <c r="J25" s="56" t="s">
        <v>76</v>
      </c>
      <c r="K25" s="52" t="s">
        <v>18</v>
      </c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2.75" customHeight="1">
      <c r="A26" s="52"/>
      <c r="B26" s="52"/>
      <c r="C26" s="67" t="str">
        <f>TEXT(1,0)</f>
        <v>1</v>
      </c>
      <c r="D26" s="52" t="s">
        <v>77</v>
      </c>
      <c r="E26" s="52"/>
      <c r="F26" s="52"/>
      <c r="G26" s="52"/>
      <c r="H26" s="52"/>
      <c r="I26" s="61"/>
      <c r="J26" s="56" t="s">
        <v>78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2.75" customHeight="1">
      <c r="A27" s="52"/>
      <c r="B27" s="52"/>
      <c r="C27" s="67" t="str">
        <f>TEXT(2,0)</f>
        <v>2</v>
      </c>
      <c r="D27" s="52" t="s">
        <v>49</v>
      </c>
      <c r="E27" s="52"/>
      <c r="F27" s="52"/>
      <c r="G27" s="52"/>
      <c r="H27" s="52"/>
      <c r="I27" s="61"/>
      <c r="J27" s="56" t="s">
        <v>79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2.75" customHeight="1">
      <c r="A28" s="52"/>
      <c r="B28" s="52"/>
      <c r="C28" s="52"/>
      <c r="D28" s="52"/>
      <c r="E28" s="52"/>
      <c r="F28" s="52"/>
      <c r="G28" s="52">
        <f>MATCH("PRESSES",Objectifs!B10:B405,0)-MATCH("PRESSES",Objectifs!B:B,0)+9</f>
        <v>33</v>
      </c>
      <c r="H28" s="52"/>
      <c r="I28" s="68"/>
      <c r="J28" s="56" t="s">
        <v>80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2.75" customHeight="1">
      <c r="A29" s="52"/>
      <c r="B29" s="52"/>
      <c r="C29" s="54" t="s">
        <v>81</v>
      </c>
      <c r="D29" s="52"/>
      <c r="E29" s="52"/>
      <c r="F29" s="52"/>
      <c r="G29" s="52">
        <f>MATCH("PRESSES",Objectifs!B1:B396,0)</f>
        <v>2</v>
      </c>
      <c r="H29" s="52"/>
      <c r="I29" s="59" t="s">
        <v>82</v>
      </c>
      <c r="J29" s="69" t="s">
        <v>83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2.75" customHeight="1">
      <c r="A30" s="52"/>
      <c r="B30" s="52"/>
      <c r="C30" s="52"/>
      <c r="D30" s="52"/>
      <c r="E30" s="52"/>
      <c r="F30" s="52"/>
      <c r="G30" s="52">
        <f>-MATCH("PRESSES",Objectifs!B:B,0)</f>
        <v>-2</v>
      </c>
      <c r="H30" s="67"/>
      <c r="I30" s="61"/>
      <c r="J30" s="69" t="s">
        <v>84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2.75" customHeight="1">
      <c r="A31" s="52"/>
      <c r="B31" s="52"/>
      <c r="C31" s="52"/>
      <c r="D31" s="70"/>
      <c r="E31" s="52"/>
      <c r="F31" s="52"/>
      <c r="G31" s="52"/>
      <c r="H31" s="52"/>
      <c r="I31" s="61"/>
      <c r="J31" s="69" t="s">
        <v>85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2.75" customHeight="1">
      <c r="A32" s="52"/>
      <c r="B32" s="52"/>
      <c r="C32" s="52"/>
      <c r="D32" s="52"/>
      <c r="E32" s="52"/>
      <c r="F32" s="52"/>
      <c r="G32" s="52"/>
      <c r="H32" s="52"/>
      <c r="I32" s="61"/>
      <c r="J32" s="69" t="s">
        <v>86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2.75" customHeight="1">
      <c r="A33" s="52"/>
      <c r="B33" s="52"/>
      <c r="C33" s="52"/>
      <c r="D33" s="52"/>
      <c r="E33" s="52"/>
      <c r="F33" s="52"/>
      <c r="G33" s="52"/>
      <c r="H33" s="52"/>
      <c r="I33" s="61"/>
      <c r="J33" s="69" t="s">
        <v>87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2.75" customHeight="1">
      <c r="A34" s="52"/>
      <c r="B34" s="52"/>
      <c r="C34" s="52"/>
      <c r="D34" s="52"/>
      <c r="E34" s="52"/>
      <c r="F34" s="52"/>
      <c r="G34" s="52"/>
      <c r="H34" s="52"/>
      <c r="I34" s="68"/>
      <c r="J34" s="69" t="s">
        <v>80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2.75" customHeight="1">
      <c r="A35" s="52"/>
      <c r="B35" s="52"/>
      <c r="C35" s="52"/>
      <c r="D35" s="52"/>
      <c r="E35" s="52"/>
      <c r="F35" s="52"/>
      <c r="G35" s="52"/>
      <c r="H35" s="67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2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2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2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2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2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2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2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2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2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2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2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2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2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2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2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2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2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2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2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2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2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2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2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2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2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2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2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2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2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2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2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2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2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2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2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2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2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2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2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2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2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2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2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2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2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2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2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2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2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2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2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2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2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2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2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2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2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2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2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2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2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2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2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2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2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2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2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2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2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2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2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2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2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2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2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2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2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2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2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2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2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2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2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2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2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2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2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2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2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2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2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2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2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2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2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2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2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2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2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2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2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2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2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2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2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2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2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2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2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2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2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2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2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2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2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2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2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2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2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2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2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2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2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2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2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2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2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2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2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2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2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2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2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2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2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2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2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2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2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2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2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2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2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2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2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2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2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2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2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2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2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2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2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2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2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2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2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2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2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2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2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2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2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2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2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2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2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2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2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2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2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2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2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2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2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2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2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2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2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2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2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2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2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2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2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2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2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2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2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2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2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2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2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2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2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2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2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2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2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2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2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2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2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2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2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2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2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2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2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2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2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2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2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2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2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2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2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2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2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2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2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2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2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2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2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2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2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2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2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2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2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2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2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2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2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2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2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2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2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2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2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2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2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2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2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2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2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2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2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2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2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2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2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2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2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2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2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2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2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2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2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2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2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2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2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2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2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2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2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2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2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2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2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2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2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2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2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2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2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2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2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2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2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2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2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2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2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2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2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2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2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2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2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2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2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2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2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2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2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2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2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2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2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2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2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2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2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2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2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2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2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2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2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2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2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2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2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2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2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2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2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2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2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2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2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2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2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2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2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2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2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2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2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2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2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2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2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2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2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2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2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2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2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2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2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2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2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2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2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2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2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2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2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2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2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2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2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2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2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2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2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2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2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2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2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2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2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2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2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2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2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2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2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2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2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2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2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2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2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2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2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2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2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2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2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2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2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2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2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2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2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2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2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2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2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2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2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2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2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2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2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2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2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2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2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2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2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2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2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2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2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2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2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2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2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2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2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2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2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2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2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2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2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2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2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2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2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2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2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2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2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2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2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2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2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2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2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2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2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2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2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2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2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2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2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2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2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2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2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2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2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2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2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2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2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2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2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2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2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2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2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2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2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2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2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2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2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2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2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2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2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2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2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2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2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2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2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2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2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2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2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2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2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2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2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2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2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2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2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2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2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2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2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2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2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2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2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2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2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2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2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2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2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2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2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2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2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2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2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2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2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2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2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2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2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2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2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2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2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2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2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2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2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2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2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2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2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2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2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2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2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2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2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2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2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2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2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2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2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2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2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2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2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2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2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2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2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2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2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2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2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2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2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2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2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2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2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2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2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2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2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2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2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2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2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2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2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2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2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2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2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2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2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2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2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2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2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2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2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2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2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2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2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2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2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2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2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2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2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2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2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2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2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2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2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2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2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2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2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2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2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2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2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2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2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2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2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2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2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2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2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2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2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2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2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2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2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2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2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2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2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2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2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2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2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2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2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2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2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2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2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2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2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2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2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2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2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2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2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2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2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2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2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2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2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2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2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2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2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2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2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2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2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2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2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2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2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2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2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2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2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2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2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2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2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2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2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2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2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2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2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2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2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2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2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2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2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2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2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2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2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2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2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2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2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2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2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2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2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2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2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2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2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2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2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2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2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2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2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2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2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2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2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2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2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2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2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2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2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2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2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2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2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2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2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2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2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2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2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2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2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2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2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2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2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2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2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2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2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2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2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2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2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2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2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2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2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2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2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2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2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2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2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2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2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2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2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2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2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2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2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2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2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2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2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2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2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2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2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2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2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2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2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2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2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2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2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2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2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2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2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2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2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2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2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2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2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2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2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2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2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2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2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2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2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2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2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2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2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2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2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2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2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2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2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2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2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2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2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2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2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2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2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2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2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2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2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2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2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2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2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2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2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2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2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2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2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2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2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2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2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2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2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2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2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2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2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2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2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2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2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2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2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2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2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2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2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2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2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2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2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2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2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2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2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2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2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2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2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2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2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2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2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2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2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2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2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2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2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2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2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2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2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2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2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2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2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2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2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2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2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2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2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2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2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2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2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2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2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2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2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2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2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2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2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2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2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2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2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2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2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2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2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2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2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2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2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2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2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2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2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2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2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2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2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2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2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2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2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2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2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2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2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2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2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2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2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2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2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2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2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2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2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2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2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2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2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2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2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2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2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2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2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2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2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2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2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2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2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2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2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2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2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2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2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2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2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2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2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2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2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2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2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2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2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2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2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2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2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2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2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2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2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2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2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mergeCells count="2">
    <mergeCell ref="I6:I28"/>
    <mergeCell ref="I29:I34"/>
  </mergeCells>
  <hyperlinks>
    <hyperlink r:id="rId2" ref="B6"/>
  </hyperlinks>
  <printOptions/>
  <pageMargins bottom="0.75" footer="0.0" header="0.0" left="0.7" right="0.7" top="0.75"/>
  <pageSetup paperSize="9" orientation="portrait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2013-05-23T07:24:46Z</dcterms:created>
  <dc:creator>JEAN BAPTISTE BOURCET - J629096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a_titre">
    <vt:lpwstr>Suivi du RO DocInfo</vt:lpwstr>
  </property>
  <property fmtid="{D5CDD505-2E9C-101B-9397-08002B2CF9AE}" pid="3" name="psa_reference">
    <vt:lpwstr>00872_14_06128</vt:lpwstr>
  </property>
  <property fmtid="{D5CDD505-2E9C-101B-9397-08002B2CF9AE}" pid="4" name="psa_date_creation">
    <vt:lpwstr>08/12/2014 08:41</vt:lpwstr>
  </property>
  <property fmtid="{D5CDD505-2E9C-101B-9397-08002B2CF9AE}" pid="5" name="psa_date_modification">
    <vt:lpwstr>17/12/2018 16:55</vt:lpwstr>
  </property>
  <property fmtid="{D5CDD505-2E9C-101B-9397-08002B2CF9AE}" pid="6" name="psa_auteur">
    <vt:lpwstr>NEUVILLE CYNTHIA - J493755</vt:lpwstr>
  </property>
  <property fmtid="{D5CDD505-2E9C-101B-9397-08002B2CF9AE}" pid="7" name="psa_emetteur">
    <vt:lpwstr>PETREQUIN FRANCINE - P516953</vt:lpwstr>
  </property>
  <property fmtid="{D5CDD505-2E9C-101B-9397-08002B2CF9AE}" pid="8" name="psa_version">
    <vt:lpwstr>7.6</vt:lpwstr>
  </property>
  <property fmtid="{D5CDD505-2E9C-101B-9397-08002B2CF9AE}" pid="9" name="psa_commentaire">
    <vt:lpwstr/>
  </property>
  <property fmtid="{D5CDD505-2E9C-101B-9397-08002B2CF9AE}" pid="10" name="psa_langue_principale">
    <vt:lpwstr>Français</vt:lpwstr>
  </property>
  <property fmtid="{D5CDD505-2E9C-101B-9397-08002B2CF9AE}" pid="11" name="psa_status">
    <vt:lpwstr>brouillon</vt:lpwstr>
  </property>
  <property fmtid="{D5CDD505-2E9C-101B-9397-08002B2CF9AE}" pid="12" name="psa_type_doc">
    <vt:lpwstr/>
  </property>
  <property fmtid="{D5CDD505-2E9C-101B-9397-08002B2CF9AE}" pid="13" name="psa_communaute">
    <vt:lpwstr>Métier Emboutissage Sochaux</vt:lpwstr>
  </property>
  <property fmtid="{D5CDD505-2E9C-101B-9397-08002B2CF9AE}" pid="14" name="psa_niveau_confidentialite">
    <vt:lpwstr>C1 - Non sensible</vt:lpwstr>
  </property>
  <property fmtid="{D5CDD505-2E9C-101B-9397-08002B2CF9AE}" pid="15" name="psa_url_fiche">
    <vt:lpwstr>http://docinfogroupe.inetpsa.com/ead/doc/ref.00872_14_06128/v.7.6</vt:lpwstr>
  </property>
  <property fmtid="{D5CDD505-2E9C-101B-9397-08002B2CF9AE}" pid="16" name="psa_url_modification">
    <vt:lpwstr>http://docinfogroupe.inetpsa.com/ead/doc/modif/ref.00872_14_06128/fiche</vt:lpwstr>
  </property>
  <property fmtid="{D5CDD505-2E9C-101B-9397-08002B2CF9AE}" pid="17" name="psa_date_publication">
    <vt:lpwstr>08/11/2018 15:57</vt:lpwstr>
  </property>
  <property fmtid="{D5CDD505-2E9C-101B-9397-08002B2CF9AE}" pid="18" name="MSIP_Label_2fd53d93-3f4c-4b90-b511-bd6bdbb4fba9_Enabled">
    <vt:lpwstr>True</vt:lpwstr>
  </property>
  <property fmtid="{D5CDD505-2E9C-101B-9397-08002B2CF9AE}" pid="19" name="MSIP_Label_2fd53d93-3f4c-4b90-b511-bd6bdbb4fba9_SiteId">
    <vt:lpwstr>d852d5cd-724c-4128-8812-ffa5db3f8507</vt:lpwstr>
  </property>
  <property fmtid="{D5CDD505-2E9C-101B-9397-08002B2CF9AE}" pid="20" name="MSIP_Label_2fd53d93-3f4c-4b90-b511-bd6bdbb4fba9_Owner">
    <vt:lpwstr>J491949@INETPSA.COM</vt:lpwstr>
  </property>
  <property fmtid="{D5CDD505-2E9C-101B-9397-08002B2CF9AE}" pid="21" name="MSIP_Label_2fd53d93-3f4c-4b90-b511-bd6bdbb4fba9_SetDate">
    <vt:lpwstr>2020-01-09T09:35:25.1617289Z</vt:lpwstr>
  </property>
  <property fmtid="{D5CDD505-2E9C-101B-9397-08002B2CF9AE}" pid="22" name="MSIP_Label_2fd53d93-3f4c-4b90-b511-bd6bdbb4fba9_Name">
    <vt:lpwstr>C2 - PSA Sensitive</vt:lpwstr>
  </property>
  <property fmtid="{D5CDD505-2E9C-101B-9397-08002B2CF9AE}" pid="23" name="MSIP_Label_2fd53d93-3f4c-4b90-b511-bd6bdbb4fba9_Application">
    <vt:lpwstr>Microsoft Azure Information Protection</vt:lpwstr>
  </property>
  <property fmtid="{D5CDD505-2E9C-101B-9397-08002B2CF9AE}" pid="24" name="MSIP_Label_2fd53d93-3f4c-4b90-b511-bd6bdbb4fba9_Extended_MSFT_Method">
    <vt:lpwstr>Automatic</vt:lpwstr>
  </property>
  <property fmtid="{D5CDD505-2E9C-101B-9397-08002B2CF9AE}" pid="25" name="Sensitivity">
    <vt:lpwstr>C2 - PSA Sensitive</vt:lpwstr>
  </property>
</Properties>
</file>